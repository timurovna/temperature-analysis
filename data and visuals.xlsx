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data" sheetId="1" r:id="rId4"/>
    <sheet state="visible" name="Smoothed data" sheetId="2" r:id="rId5"/>
    <sheet state="visible" name="CUSUM for smoothed data" sheetId="3" r:id="rId6"/>
    <sheet state="visible" name="Results" sheetId="4" r:id="rId7"/>
  </sheets>
  <definedNames/>
  <calcPr/>
</workbook>
</file>

<file path=xl/sharedStrings.xml><?xml version="1.0" encoding="utf-8"?>
<sst xmlns="http://schemas.openxmlformats.org/spreadsheetml/2006/main" count="76" uniqueCount="37">
  <si>
    <t>DAY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</si>
  <si>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</si>
  <si>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</si>
  <si>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</si>
  <si>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</si>
  <si>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</si>
  <si>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</si>
  <si>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</si>
  <si>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</si>
  <si>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</si>
  <si>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</si>
  <si>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</si>
  <si>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</si>
  <si>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</si>
  <si>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</si>
  <si>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</si>
  <si>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</si>
  <si>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</si>
  <si>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</si>
  <si>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</si>
  <si>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</si>
  <si>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Showing 1 to 15 of 123 entries, 19 total columns</t>
  </si>
  <si>
    <t>S0</t>
  </si>
  <si>
    <t>C</t>
  </si>
  <si>
    <t>standard deviation/2</t>
  </si>
  <si>
    <t>h</t>
  </si>
  <si>
    <t>control period mean</t>
  </si>
  <si>
    <t>control period standard deviation</t>
  </si>
  <si>
    <t>Date</t>
  </si>
  <si>
    <t>Value</t>
  </si>
  <si>
    <t>S</t>
  </si>
  <si>
    <t>SMOOTHED DATA</t>
  </si>
  <si>
    <t>RAW DATA</t>
  </si>
  <si>
    <t>Years</t>
  </si>
  <si>
    <t>Last day of summer</t>
  </si>
  <si>
    <t>Temperature on the last day of summer</t>
  </si>
  <si>
    <t>9-Sep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</si>
</sst>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000000"/>
      <name val="&quot;DejaVu Sans&quot;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sz val="10.0"/>
      <color rgb="FF000000"/>
      <name val="&quot;DejaVu Sans&quot;"/>
    </font>
    <font>
      <sz val="10.0"/>
      <color rgb="FF000000"/>
      <name val="Arial"/>
    </font>
    <font>
      <b/>
      <sz val="8.0"/>
      <color rgb="FF333333"/>
      <name val="&quot;DejaVu Sans&quot;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2" fontId="2" numFmtId="0" xfId="0" applyAlignment="1" applyBorder="1" applyFill="1" applyFont="1">
      <alignment horizontal="left"/>
    </xf>
    <xf borderId="13" fillId="0" fontId="3" numFmtId="0" xfId="0" applyAlignment="1" applyBorder="1" applyFont="1">
      <alignment horizontal="left" readingOrder="0" shrinkToFit="0" wrapText="0"/>
    </xf>
    <xf borderId="13" fillId="2" fontId="4" numFmtId="164" xfId="0" applyAlignment="1" applyBorder="1" applyFont="1" applyNumberFormat="1">
      <alignment shrinkToFit="0" wrapText="0"/>
    </xf>
    <xf borderId="13" fillId="0" fontId="5" numFmtId="0" xfId="0" applyAlignment="1" applyBorder="1" applyFont="1">
      <alignment horizontal="right" readingOrder="0" shrinkToFit="0" wrapText="0"/>
    </xf>
    <xf borderId="13" fillId="0" fontId="6" numFmtId="0" xfId="0" applyAlignment="1" applyBorder="1" applyFont="1">
      <alignment horizontal="right" readingOrder="0" shrinkToFit="0" wrapText="0"/>
    </xf>
    <xf borderId="0" fillId="2" fontId="7" numFmtId="0" xfId="0" applyAlignment="1" applyFont="1">
      <alignment horizontal="left" readingOrder="0"/>
    </xf>
    <xf borderId="0" fillId="2" fontId="8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13" fillId="0" fontId="9" numFmtId="0" xfId="0" applyAlignment="1" applyBorder="1" applyFont="1">
      <alignment vertical="bottom"/>
    </xf>
    <xf borderId="13" fillId="0" fontId="9" numFmtId="0" xfId="0" applyAlignment="1" applyBorder="1" applyFont="1">
      <alignment horizontal="right" vertical="bottom"/>
    </xf>
    <xf borderId="13" fillId="0" fontId="9" numFmtId="0" xfId="0" applyAlignment="1" applyBorder="1" applyFont="1">
      <alignment shrinkToFit="0" vertical="bottom" wrapText="1"/>
    </xf>
    <xf borderId="13" fillId="0" fontId="10" numFmtId="0" xfId="0" applyAlignment="1" applyBorder="1" applyFont="1">
      <alignment vertical="bottom"/>
    </xf>
    <xf borderId="13" fillId="0" fontId="10" numFmtId="0" xfId="0" applyAlignment="1" applyBorder="1" applyFont="1">
      <alignment horizontal="right" vertical="bottom"/>
    </xf>
    <xf borderId="13" fillId="0" fontId="10" numFmtId="0" xfId="0" applyAlignment="1" applyBorder="1" applyFont="1">
      <alignment horizontal="right" vertical="bottom"/>
    </xf>
    <xf borderId="13" fillId="2" fontId="11" numFmtId="0" xfId="0" applyAlignment="1" applyBorder="1" applyFont="1">
      <alignment vertical="bottom"/>
    </xf>
    <xf borderId="13" fillId="2" fontId="11" numFmtId="0" xfId="0" applyAlignment="1" applyBorder="1" applyFont="1">
      <alignment horizontal="right" vertical="bottom"/>
    </xf>
    <xf borderId="13" fillId="2" fontId="12" numFmtId="0" xfId="0" applyAlignment="1" applyBorder="1" applyFont="1">
      <alignment vertical="bottom"/>
    </xf>
    <xf borderId="13" fillId="2" fontId="11" numFmtId="164" xfId="0" applyAlignment="1" applyBorder="1" applyFont="1" applyNumberFormat="1">
      <alignment horizontal="right" vertical="bottom"/>
    </xf>
    <xf borderId="13" fillId="2" fontId="5" numFmtId="0" xfId="0" applyAlignment="1" applyBorder="1" applyFont="1">
      <alignment horizontal="right" readingOrder="0" shrinkToFit="0" wrapText="0"/>
    </xf>
    <xf borderId="13" fillId="2" fontId="12" numFmtId="0" xfId="0" applyAlignment="1" applyBorder="1" applyFont="1">
      <alignment horizontal="right" vertical="bottom"/>
    </xf>
    <xf borderId="13" fillId="2" fontId="6" numFmtId="0" xfId="0" applyAlignment="1" applyBorder="1" applyFont="1">
      <alignment horizontal="right" readingOrder="0" shrinkToFit="0" wrapText="0"/>
    </xf>
    <xf borderId="13" fillId="3" fontId="12" numFmtId="0" xfId="0" applyAlignment="1" applyBorder="1" applyFill="1" applyFont="1">
      <alignment horizontal="right" vertical="bottom"/>
    </xf>
    <xf borderId="0" fillId="0" fontId="8" numFmtId="0" xfId="0" applyFont="1"/>
    <xf borderId="14" fillId="4" fontId="9" numFmtId="0" xfId="0" applyAlignment="1" applyBorder="1" applyFill="1" applyFont="1">
      <alignment readingOrder="0" vertical="bottom"/>
    </xf>
    <xf borderId="15" fillId="0" fontId="13" numFmtId="0" xfId="0" applyBorder="1" applyFont="1"/>
    <xf borderId="16" fillId="0" fontId="13" numFmtId="0" xfId="0" applyBorder="1" applyFont="1"/>
    <xf borderId="14" fillId="2" fontId="9" numFmtId="0" xfId="0" applyAlignment="1" applyBorder="1" applyFont="1">
      <alignment readingOrder="0" vertical="bottom"/>
    </xf>
    <xf borderId="0" fillId="2" fontId="1" numFmtId="0" xfId="0" applyFont="1"/>
    <xf borderId="13" fillId="4" fontId="9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wrapText="1"/>
    </xf>
    <xf borderId="13" fillId="2" fontId="9" numFmtId="0" xfId="0" applyAlignment="1" applyBorder="1" applyFont="1">
      <alignment shrinkToFit="0" vertical="bottom" wrapText="1"/>
    </xf>
    <xf borderId="13" fillId="4" fontId="10" numFmtId="0" xfId="0" applyAlignment="1" applyBorder="1" applyFont="1">
      <alignment horizontal="right" vertical="bottom"/>
    </xf>
    <xf borderId="13" fillId="4" fontId="10" numFmtId="0" xfId="0" applyAlignment="1" applyBorder="1" applyFont="1">
      <alignment horizontal="right" vertical="bottom"/>
    </xf>
    <xf borderId="13" fillId="2" fontId="10" numFmtId="0" xfId="0" applyAlignment="1" applyBorder="1" applyFont="1">
      <alignment horizontal="right" vertical="bottom"/>
    </xf>
    <xf borderId="13" fillId="2" fontId="10" numFmtId="164" xfId="0" applyAlignment="1" applyBorder="1" applyFont="1" applyNumberFormat="1">
      <alignment horizontal="right" vertical="bottom"/>
    </xf>
    <xf borderId="13" fillId="2" fontId="10" numFmtId="0" xfId="0" applyAlignment="1" applyBorder="1" applyFont="1">
      <alignment horizontal="right" vertical="bottom"/>
    </xf>
    <xf borderId="13" fillId="2" fontId="12" numFmtId="164" xfId="0" applyAlignment="1" applyBorder="1" applyFont="1" applyNumberFormat="1">
      <alignment horizontal="right" vertical="bottom"/>
    </xf>
    <xf borderId="13" fillId="2" fontId="5" numFmtId="1" xfId="0" applyAlignment="1" applyBorder="1" applyFont="1" applyNumberFormat="1">
      <alignment horizontal="right" readingOrder="0" shrinkToFit="0" wrapText="0"/>
    </xf>
    <xf borderId="13" fillId="4" fontId="10" numFmtId="164" xfId="0" applyAlignment="1" applyBorder="1" applyFont="1" applyNumberFormat="1">
      <alignment horizontal="right" readingOrder="0" vertical="bottom"/>
    </xf>
    <xf borderId="13" fillId="2" fontId="12" numFmtId="164" xfId="0" applyAlignment="1" applyBorder="1" applyFont="1" applyNumberFormat="1">
      <alignment horizontal="right" readingOrder="0" vertical="bottom"/>
    </xf>
    <xf borderId="13" fillId="2" fontId="6" numFmtId="1" xfId="0" applyAlignment="1" applyBorder="1" applyFont="1" applyNumberFormat="1">
      <alignment horizontal="right" readingOrder="0" shrinkToFit="0" wrapText="0"/>
    </xf>
    <xf borderId="13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3" pivot="0" name="Initial data-style">
      <tableStyleElement dxfId="1" type="headerRow"/>
      <tableStyleElement dxfId="2" type="firstRowStripe"/>
      <tableStyleElement dxfId="3" type="secondRowStripe"/>
    </tableStyle>
    <tableStyle count="2" pivot="0" name="Smoothed data-style">
      <tableStyleElement dxfId="2" type="firstRowStripe"/>
      <tableStyleElement dxfId="3" type="secondRowStripe"/>
    </tableStyle>
    <tableStyle count="2" pivot="0" name="CUSUM for smoothed data-style">
      <tableStyleElement dxfId="2" type="firstRowStripe"/>
      <tableStyleElement dxfId="3" type="secondRowStripe"/>
    </tableStyle>
    <tableStyle count="2" pivot="0" name="Results-style">
      <tableStyleElement dxfId="3" type="firstRowStripe"/>
      <tableStyleElement dxfId="2" type="secondRowStripe"/>
    </tableStyle>
    <tableStyle count="2" pivot="0" name="Result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1996, 1997, 1998, 1999, 2000…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'Initial data'!$B$1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data'!$B$2:$B$124</c:f>
              <c:numCache/>
            </c:numRef>
          </c:val>
          <c:smooth val="0"/>
        </c:ser>
        <c:ser>
          <c:idx val="1"/>
          <c:order val="1"/>
          <c:tx>
            <c:strRef>
              <c:f>'Initial data'!$C$1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data'!$C$2:$C$124</c:f>
              <c:numCache/>
            </c:numRef>
          </c:val>
          <c:smooth val="0"/>
        </c:ser>
        <c:ser>
          <c:idx val="2"/>
          <c:order val="2"/>
          <c:tx>
            <c:strRef>
              <c:f>'Initial data'!$D$1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data'!$D$2:$D$124</c:f>
              <c:numCache/>
            </c:numRef>
          </c:val>
          <c:smooth val="0"/>
        </c:ser>
        <c:ser>
          <c:idx val="3"/>
          <c:order val="3"/>
          <c:tx>
            <c:strRef>
              <c:f>'Initial data'!$E$1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data'!$E$2:$E$124</c:f>
              <c:numCache/>
            </c:numRef>
          </c:val>
          <c:smooth val="0"/>
        </c:ser>
        <c:ser>
          <c:idx val="4"/>
          <c:order val="4"/>
          <c:tx>
            <c:strRef>
              <c:f>'Initial data'!$F$1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data'!$F$2:$F$124</c:f>
              <c:numCache/>
            </c:numRef>
          </c:val>
          <c:smooth val="0"/>
        </c:ser>
        <c:ser>
          <c:idx val="5"/>
          <c:order val="5"/>
          <c:tx>
            <c:strRef>
              <c:f>'Initial data'!$G$1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data'!$G$2:$G$124</c:f>
              <c:numCache/>
            </c:numRef>
          </c:val>
          <c:smooth val="0"/>
        </c:ser>
        <c:ser>
          <c:idx val="6"/>
          <c:order val="6"/>
          <c:tx>
            <c:strRef>
              <c:f>'Initial data'!$H$1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data'!$H$2:$H$124</c:f>
              <c:numCache/>
            </c:numRef>
          </c:val>
          <c:smooth val="0"/>
        </c:ser>
        <c:ser>
          <c:idx val="7"/>
          <c:order val="7"/>
          <c:tx>
            <c:strRef>
              <c:f>'Initial data'!$I$1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data'!$I$2:$I$124</c:f>
              <c:numCache/>
            </c:numRef>
          </c:val>
          <c:smooth val="0"/>
        </c:ser>
        <c:ser>
          <c:idx val="8"/>
          <c:order val="8"/>
          <c:tx>
            <c:strRef>
              <c:f>'Initial data'!$J$1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data'!$J$2:$J$124</c:f>
              <c:numCache/>
            </c:numRef>
          </c:val>
          <c:smooth val="0"/>
        </c:ser>
        <c:ser>
          <c:idx val="9"/>
          <c:order val="9"/>
          <c:tx>
            <c:strRef>
              <c:f>'Initial data'!$K$1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data'!$K$2:$K$124</c:f>
              <c:numCache/>
            </c:numRef>
          </c:val>
          <c:smooth val="0"/>
        </c:ser>
        <c:ser>
          <c:idx val="10"/>
          <c:order val="10"/>
          <c:tx>
            <c:strRef>
              <c:f>'Initial data'!$L$1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data'!$L$2:$L$124</c:f>
              <c:numCache/>
            </c:numRef>
          </c:val>
          <c:smooth val="0"/>
        </c:ser>
        <c:ser>
          <c:idx val="11"/>
          <c:order val="11"/>
          <c:tx>
            <c:strRef>
              <c:f>'Initial data'!$M$1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data'!$M$2:$M$124</c:f>
              <c:numCache/>
            </c:numRef>
          </c:val>
          <c:smooth val="0"/>
        </c:ser>
        <c:ser>
          <c:idx val="12"/>
          <c:order val="12"/>
          <c:tx>
            <c:strRef>
              <c:f>'Initial data'!$N$1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data'!$N$2:$N$124</c:f>
              <c:numCache/>
            </c:numRef>
          </c:val>
          <c:smooth val="0"/>
        </c:ser>
        <c:ser>
          <c:idx val="13"/>
          <c:order val="13"/>
          <c:tx>
            <c:strRef>
              <c:f>'Initial data'!$O$1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data'!$O$2:$O$124</c:f>
              <c:numCache/>
            </c:numRef>
          </c:val>
          <c:smooth val="0"/>
        </c:ser>
        <c:ser>
          <c:idx val="14"/>
          <c:order val="14"/>
          <c:tx>
            <c:strRef>
              <c:f>'Initial data'!$P$1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data'!$P$2:$P$124</c:f>
              <c:numCache/>
            </c:numRef>
          </c:val>
          <c:smooth val="0"/>
        </c:ser>
        <c:ser>
          <c:idx val="15"/>
          <c:order val="15"/>
          <c:tx>
            <c:strRef>
              <c:f>'Initial data'!$Q$1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data'!$Q$2:$Q$124</c:f>
              <c:numCache/>
            </c:numRef>
          </c:val>
          <c:smooth val="0"/>
        </c:ser>
        <c:ser>
          <c:idx val="16"/>
          <c:order val="16"/>
          <c:tx>
            <c:strRef>
              <c:f>'Initial data'!$R$1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data'!$R$2:$R$124</c:f>
              <c:numCache/>
            </c:numRef>
          </c:val>
          <c:smooth val="0"/>
        </c:ser>
        <c:ser>
          <c:idx val="17"/>
          <c:order val="17"/>
          <c:tx>
            <c:strRef>
              <c:f>'Initial data'!$S$1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data'!$S$2:$S$124</c:f>
              <c:numCache/>
            </c:numRef>
          </c:val>
          <c:smooth val="0"/>
        </c:ser>
        <c:ser>
          <c:idx val="18"/>
          <c:order val="18"/>
          <c:tx>
            <c:strRef>
              <c:f>'Initial data'!$T$1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data'!$T$2:$T$124</c:f>
              <c:numCache/>
            </c:numRef>
          </c:val>
          <c:smooth val="0"/>
        </c:ser>
        <c:ser>
          <c:idx val="19"/>
          <c:order val="19"/>
          <c:tx>
            <c:strRef>
              <c:f>'Initial data'!$U$1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'Initial data'!$A$2:$A$124</c:f>
            </c:strRef>
          </c:cat>
          <c:val>
            <c:numRef>
              <c:f>'Initial data'!$U$2:$U$124</c:f>
              <c:numCache/>
            </c:numRef>
          </c:val>
          <c:smooth val="0"/>
        </c:ser>
        <c:axId val="966315698"/>
        <c:axId val="317496516"/>
      </c:lineChart>
      <c:catAx>
        <c:axId val="966315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496516"/>
      </c:catAx>
      <c:valAx>
        <c:axId val="317496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315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1997, 1998, 1999, 2000, 2001…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'Smoothed data'!$B$1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data'!$B$2:$B$124</c:f>
              <c:numCache/>
            </c:numRef>
          </c:val>
          <c:smooth val="0"/>
        </c:ser>
        <c:ser>
          <c:idx val="1"/>
          <c:order val="1"/>
          <c:tx>
            <c:strRef>
              <c:f>'Smoothed data'!$C$1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data'!$C$2:$C$124</c:f>
              <c:numCache/>
            </c:numRef>
          </c:val>
          <c:smooth val="0"/>
        </c:ser>
        <c:ser>
          <c:idx val="2"/>
          <c:order val="2"/>
          <c:tx>
            <c:strRef>
              <c:f>'Smoothed data'!$D$1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data'!$D$2:$D$124</c:f>
              <c:numCache/>
            </c:numRef>
          </c:val>
          <c:smooth val="0"/>
        </c:ser>
        <c:ser>
          <c:idx val="3"/>
          <c:order val="3"/>
          <c:tx>
            <c:strRef>
              <c:f>'Smoothed data'!$E$1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data'!$E$2:$E$124</c:f>
              <c:numCache/>
            </c:numRef>
          </c:val>
          <c:smooth val="0"/>
        </c:ser>
        <c:ser>
          <c:idx val="4"/>
          <c:order val="4"/>
          <c:tx>
            <c:strRef>
              <c:f>'Smoothed data'!$F$1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data'!$F$2:$F$124</c:f>
              <c:numCache/>
            </c:numRef>
          </c:val>
          <c:smooth val="0"/>
        </c:ser>
        <c:ser>
          <c:idx val="5"/>
          <c:order val="5"/>
          <c:tx>
            <c:strRef>
              <c:f>'Smoothed data'!$G$1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data'!$G$2:$G$124</c:f>
              <c:numCache/>
            </c:numRef>
          </c:val>
          <c:smooth val="0"/>
        </c:ser>
        <c:ser>
          <c:idx val="6"/>
          <c:order val="6"/>
          <c:tx>
            <c:strRef>
              <c:f>'Smoothed data'!$H$1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data'!$H$2:$H$124</c:f>
              <c:numCache/>
            </c:numRef>
          </c:val>
          <c:smooth val="0"/>
        </c:ser>
        <c:ser>
          <c:idx val="7"/>
          <c:order val="7"/>
          <c:tx>
            <c:strRef>
              <c:f>'Smoothed data'!$I$1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data'!$I$2:$I$124</c:f>
              <c:numCache/>
            </c:numRef>
          </c:val>
          <c:smooth val="0"/>
        </c:ser>
        <c:ser>
          <c:idx val="8"/>
          <c:order val="8"/>
          <c:tx>
            <c:strRef>
              <c:f>'Smoothed data'!$J$1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data'!$J$2:$J$124</c:f>
              <c:numCache/>
            </c:numRef>
          </c:val>
          <c:smooth val="0"/>
        </c:ser>
        <c:ser>
          <c:idx val="9"/>
          <c:order val="9"/>
          <c:tx>
            <c:strRef>
              <c:f>'Smoothed data'!$K$1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data'!$K$2:$K$124</c:f>
              <c:numCache/>
            </c:numRef>
          </c:val>
          <c:smooth val="0"/>
        </c:ser>
        <c:ser>
          <c:idx val="10"/>
          <c:order val="10"/>
          <c:tx>
            <c:strRef>
              <c:f>'Smoothed data'!$L$1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data'!$L$2:$L$124</c:f>
              <c:numCache/>
            </c:numRef>
          </c:val>
          <c:smooth val="0"/>
        </c:ser>
        <c:ser>
          <c:idx val="11"/>
          <c:order val="11"/>
          <c:tx>
            <c:strRef>
              <c:f>'Smoothed data'!$M$1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data'!$M$2:$M$124</c:f>
              <c:numCache/>
            </c:numRef>
          </c:val>
          <c:smooth val="0"/>
        </c:ser>
        <c:ser>
          <c:idx val="12"/>
          <c:order val="12"/>
          <c:tx>
            <c:strRef>
              <c:f>'Smoothed data'!$N$1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data'!$N$2:$N$124</c:f>
              <c:numCache/>
            </c:numRef>
          </c:val>
          <c:smooth val="0"/>
        </c:ser>
        <c:ser>
          <c:idx val="13"/>
          <c:order val="13"/>
          <c:tx>
            <c:strRef>
              <c:f>'Smoothed data'!$O$1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data'!$O$2:$O$124</c:f>
              <c:numCache/>
            </c:numRef>
          </c:val>
          <c:smooth val="0"/>
        </c:ser>
        <c:ser>
          <c:idx val="14"/>
          <c:order val="14"/>
          <c:tx>
            <c:strRef>
              <c:f>'Smoothed data'!$P$1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data'!$P$2:$P$124</c:f>
              <c:numCache/>
            </c:numRef>
          </c:val>
          <c:smooth val="0"/>
        </c:ser>
        <c:ser>
          <c:idx val="15"/>
          <c:order val="15"/>
          <c:tx>
            <c:strRef>
              <c:f>'Smoothed data'!$Q$1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data'!$Q$2:$Q$124</c:f>
              <c:numCache/>
            </c:numRef>
          </c:val>
          <c:smooth val="0"/>
        </c:ser>
        <c:ser>
          <c:idx val="16"/>
          <c:order val="16"/>
          <c:tx>
            <c:strRef>
              <c:f>'Smoothed data'!$R$1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data'!$R$2:$R$124</c:f>
              <c:numCache/>
            </c:numRef>
          </c:val>
          <c:smooth val="0"/>
        </c:ser>
        <c:ser>
          <c:idx val="17"/>
          <c:order val="17"/>
          <c:tx>
            <c:strRef>
              <c:f>'Smoothed data'!$S$1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data'!$S$2:$S$124</c:f>
              <c:numCache/>
            </c:numRef>
          </c:val>
          <c:smooth val="0"/>
        </c:ser>
        <c:ser>
          <c:idx val="18"/>
          <c:order val="18"/>
          <c:tx>
            <c:strRef>
              <c:f>'Smoothed data'!$T$1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'Smoothed data'!$A$2:$A$124</c:f>
            </c:strRef>
          </c:cat>
          <c:val>
            <c:numRef>
              <c:f>'Smoothed data'!$T$2:$T$124</c:f>
              <c:numCache/>
            </c:numRef>
          </c:val>
          <c:smooth val="0"/>
        </c:ser>
        <c:axId val="374210664"/>
        <c:axId val="1547510467"/>
      </c:lineChart>
      <c:catAx>
        <c:axId val="374210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510467"/>
      </c:catAx>
      <c:valAx>
        <c:axId val="1547510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210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124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126</xdr:row>
      <xdr:rowOff>171450</xdr:rowOff>
    </xdr:from>
    <xdr:ext cx="6657975" cy="2847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200025</xdr:rowOff>
    </xdr:from>
    <xdr:ext cx="6800850" cy="2876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U124" displayName="Table1" name="Table1" id="1">
  <tableColumns count="21">
    <tableColumn name="DAY" id="1"/>
    <tableColumn name="1996" id="2"/>
    <tableColumn name="1997" id="3"/>
    <tableColumn name="1998" id="4"/>
    <tableColumn name="1999" id="5"/>
    <tableColumn name="2000" id="6"/>
    <tableColumn name="2001" id="7"/>
    <tableColumn name="2002" id="8"/>
    <tableColumn name="2003" id="9"/>
    <tableColumn name="2004" id="10"/>
    <tableColumn name="2005" id="11"/>
    <tableColumn name="2006" id="12"/>
    <tableColumn name="2007" id="13"/>
    <tableColumn name="2008" id="14"/>
    <tableColumn name="2009" id="15"/>
    <tableColumn name="2010" id="16"/>
    <tableColumn name="2011" id="17"/>
    <tableColumn name="2012" id="18"/>
    <tableColumn name="2013" id="19"/>
    <tableColumn name="2014" id="20"/>
    <tableColumn name="2015" id="21"/>
  </tableColumns>
  <tableStyleInfo name="Initial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124" displayName="Table_1" name="Table_1" id="2">
  <tableColumns count="1">
    <tableColumn name="Column1" id="1"/>
  </tableColumns>
  <tableStyleInfo name="Smoothed data-style" showColumnStripes="0" showFirstColumn="1" showLastColumn="1" showRowStripes="1"/>
</table>
</file>

<file path=xl/tables/table3.xml><?xml version="1.0" encoding="utf-8"?>
<table xmlns="http://schemas.openxmlformats.org/spreadsheetml/2006/main" headerRowCount="0" ref="A11:AM133" displayName="Table_2" name="Table_2" id="3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CUSUM for smoothed data-style" showColumnStripes="0" showFirstColumn="1" showLastColumn="1" showRowStripes="1"/>
</table>
</file>

<file path=xl/tables/table4.xml><?xml version="1.0" encoding="utf-8"?>
<table xmlns="http://schemas.openxmlformats.org/spreadsheetml/2006/main" headerRowCount="0" ref="B3:C22" displayName="Table_3" name="Table_3" id="4">
  <tableColumns count="2">
    <tableColumn name="Column1" id="1"/>
    <tableColumn name="Column2" id="2"/>
  </tableColumns>
  <tableStyleInfo name="Results-style" showColumnStripes="0" showFirstColumn="1" showLastColumn="1" showRowStripes="1"/>
</table>
</file>

<file path=xl/tables/table5.xml><?xml version="1.0" encoding="utf-8"?>
<table xmlns="http://schemas.openxmlformats.org/spreadsheetml/2006/main" headerRowCount="0" ref="F3:G22" displayName="Table_4" name="Table_4" id="5">
  <tableColumns count="2">
    <tableColumn name="Column1" id="1"/>
    <tableColumn name="Column2" id="2"/>
  </tableColumns>
  <tableStyleInfo name="Resul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>
        <v>45839.0</v>
      </c>
      <c r="B2" s="5">
        <v>98.0</v>
      </c>
      <c r="C2" s="5">
        <v>86.0</v>
      </c>
      <c r="D2" s="5">
        <v>91.0</v>
      </c>
      <c r="E2" s="5">
        <v>84.0</v>
      </c>
      <c r="F2" s="5">
        <v>89.0</v>
      </c>
      <c r="G2" s="5">
        <v>84.0</v>
      </c>
      <c r="H2" s="5">
        <v>90.0</v>
      </c>
      <c r="I2" s="5">
        <v>73.0</v>
      </c>
      <c r="J2" s="5">
        <v>82.0</v>
      </c>
      <c r="K2" s="5">
        <v>91.0</v>
      </c>
      <c r="L2" s="5">
        <v>93.0</v>
      </c>
      <c r="M2" s="5">
        <v>95.0</v>
      </c>
      <c r="N2" s="5">
        <v>85.0</v>
      </c>
      <c r="O2" s="5">
        <v>95.0</v>
      </c>
      <c r="P2" s="5">
        <v>87.0</v>
      </c>
      <c r="Q2" s="5">
        <v>92.0</v>
      </c>
      <c r="R2" s="5">
        <v>105.0</v>
      </c>
      <c r="S2" s="5">
        <v>82.0</v>
      </c>
      <c r="T2" s="5">
        <v>90.0</v>
      </c>
      <c r="U2" s="6">
        <v>85.0</v>
      </c>
    </row>
    <row r="3">
      <c r="A3" s="7">
        <v>45840.0</v>
      </c>
      <c r="B3" s="8">
        <v>97.0</v>
      </c>
      <c r="C3" s="8">
        <v>90.0</v>
      </c>
      <c r="D3" s="8">
        <v>88.0</v>
      </c>
      <c r="E3" s="8">
        <v>82.0</v>
      </c>
      <c r="F3" s="8">
        <v>91.0</v>
      </c>
      <c r="G3" s="8">
        <v>87.0</v>
      </c>
      <c r="H3" s="8">
        <v>90.0</v>
      </c>
      <c r="I3" s="8">
        <v>81.0</v>
      </c>
      <c r="J3" s="8">
        <v>81.0</v>
      </c>
      <c r="K3" s="8">
        <v>89.0</v>
      </c>
      <c r="L3" s="8">
        <v>93.0</v>
      </c>
      <c r="M3" s="8">
        <v>85.0</v>
      </c>
      <c r="N3" s="8">
        <v>87.0</v>
      </c>
      <c r="O3" s="8">
        <v>90.0</v>
      </c>
      <c r="P3" s="8">
        <v>84.0</v>
      </c>
      <c r="Q3" s="8">
        <v>94.0</v>
      </c>
      <c r="R3" s="8">
        <v>93.0</v>
      </c>
      <c r="S3" s="8">
        <v>85.0</v>
      </c>
      <c r="T3" s="8">
        <v>93.0</v>
      </c>
      <c r="U3" s="9">
        <v>87.0</v>
      </c>
    </row>
    <row r="4">
      <c r="A4" s="4">
        <v>45841.0</v>
      </c>
      <c r="B4" s="5">
        <v>97.0</v>
      </c>
      <c r="C4" s="5">
        <v>93.0</v>
      </c>
      <c r="D4" s="5">
        <v>91.0</v>
      </c>
      <c r="E4" s="5">
        <v>87.0</v>
      </c>
      <c r="F4" s="5">
        <v>93.0</v>
      </c>
      <c r="G4" s="5">
        <v>87.0</v>
      </c>
      <c r="H4" s="5">
        <v>87.0</v>
      </c>
      <c r="I4" s="5">
        <v>87.0</v>
      </c>
      <c r="J4" s="5">
        <v>86.0</v>
      </c>
      <c r="K4" s="5">
        <v>86.0</v>
      </c>
      <c r="L4" s="5">
        <v>93.0</v>
      </c>
      <c r="M4" s="5">
        <v>82.0</v>
      </c>
      <c r="N4" s="5">
        <v>91.0</v>
      </c>
      <c r="O4" s="5">
        <v>89.0</v>
      </c>
      <c r="P4" s="5">
        <v>83.0</v>
      </c>
      <c r="Q4" s="5">
        <v>95.0</v>
      </c>
      <c r="R4" s="5">
        <v>99.0</v>
      </c>
      <c r="S4" s="5">
        <v>76.0</v>
      </c>
      <c r="T4" s="5">
        <v>87.0</v>
      </c>
      <c r="U4" s="6">
        <v>79.0</v>
      </c>
    </row>
    <row r="5">
      <c r="A5" s="7">
        <v>45842.0</v>
      </c>
      <c r="B5" s="8">
        <v>90.0</v>
      </c>
      <c r="C5" s="8">
        <v>91.0</v>
      </c>
      <c r="D5" s="8">
        <v>91.0</v>
      </c>
      <c r="E5" s="8">
        <v>88.0</v>
      </c>
      <c r="F5" s="8">
        <v>95.0</v>
      </c>
      <c r="G5" s="8">
        <v>84.0</v>
      </c>
      <c r="H5" s="8">
        <v>89.0</v>
      </c>
      <c r="I5" s="8">
        <v>86.0</v>
      </c>
      <c r="J5" s="8">
        <v>88.0</v>
      </c>
      <c r="K5" s="8">
        <v>86.0</v>
      </c>
      <c r="L5" s="8">
        <v>91.0</v>
      </c>
      <c r="M5" s="8">
        <v>86.0</v>
      </c>
      <c r="N5" s="8">
        <v>90.0</v>
      </c>
      <c r="O5" s="8">
        <v>91.0</v>
      </c>
      <c r="P5" s="8">
        <v>85.0</v>
      </c>
      <c r="Q5" s="8">
        <v>92.0</v>
      </c>
      <c r="R5" s="8">
        <v>98.0</v>
      </c>
      <c r="S5" s="8">
        <v>77.0</v>
      </c>
      <c r="T5" s="8">
        <v>84.0</v>
      </c>
      <c r="U5" s="9">
        <v>85.0</v>
      </c>
    </row>
    <row r="6">
      <c r="A6" s="4">
        <v>45843.0</v>
      </c>
      <c r="B6" s="5">
        <v>89.0</v>
      </c>
      <c r="C6" s="5">
        <v>84.0</v>
      </c>
      <c r="D6" s="5">
        <v>91.0</v>
      </c>
      <c r="E6" s="5">
        <v>90.0</v>
      </c>
      <c r="F6" s="5">
        <v>96.0</v>
      </c>
      <c r="G6" s="5">
        <v>86.0</v>
      </c>
      <c r="H6" s="5">
        <v>93.0</v>
      </c>
      <c r="I6" s="5">
        <v>80.0</v>
      </c>
      <c r="J6" s="5">
        <v>90.0</v>
      </c>
      <c r="K6" s="5">
        <v>89.0</v>
      </c>
      <c r="L6" s="5">
        <v>90.0</v>
      </c>
      <c r="M6" s="5">
        <v>88.0</v>
      </c>
      <c r="N6" s="5">
        <v>88.0</v>
      </c>
      <c r="O6" s="5">
        <v>80.0</v>
      </c>
      <c r="P6" s="5">
        <v>88.0</v>
      </c>
      <c r="Q6" s="5">
        <v>90.0</v>
      </c>
      <c r="R6" s="5">
        <v>100.0</v>
      </c>
      <c r="S6" s="5">
        <v>83.0</v>
      </c>
      <c r="T6" s="5">
        <v>86.0</v>
      </c>
      <c r="U6" s="6">
        <v>84.0</v>
      </c>
    </row>
    <row r="7">
      <c r="A7" s="7">
        <v>45844.0</v>
      </c>
      <c r="B7" s="8">
        <v>93.0</v>
      </c>
      <c r="C7" s="8">
        <v>84.0</v>
      </c>
      <c r="D7" s="8">
        <v>89.0</v>
      </c>
      <c r="E7" s="8">
        <v>91.0</v>
      </c>
      <c r="F7" s="8">
        <v>96.0</v>
      </c>
      <c r="G7" s="8">
        <v>87.0</v>
      </c>
      <c r="H7" s="8">
        <v>93.0</v>
      </c>
      <c r="I7" s="8">
        <v>84.0</v>
      </c>
      <c r="J7" s="8">
        <v>90.0</v>
      </c>
      <c r="K7" s="8">
        <v>82.0</v>
      </c>
      <c r="L7" s="8">
        <v>81.0</v>
      </c>
      <c r="M7" s="8">
        <v>87.0</v>
      </c>
      <c r="N7" s="8">
        <v>82.0</v>
      </c>
      <c r="O7" s="8">
        <v>87.0</v>
      </c>
      <c r="P7" s="8">
        <v>89.0</v>
      </c>
      <c r="Q7" s="8">
        <v>90.0</v>
      </c>
      <c r="R7" s="8">
        <v>98.0</v>
      </c>
      <c r="S7" s="8">
        <v>83.0</v>
      </c>
      <c r="T7" s="8">
        <v>87.0</v>
      </c>
      <c r="U7" s="9">
        <v>84.0</v>
      </c>
    </row>
    <row r="8">
      <c r="A8" s="4">
        <v>45845.0</v>
      </c>
      <c r="B8" s="5">
        <v>93.0</v>
      </c>
      <c r="C8" s="5">
        <v>75.0</v>
      </c>
      <c r="D8" s="5">
        <v>93.0</v>
      </c>
      <c r="E8" s="5">
        <v>82.0</v>
      </c>
      <c r="F8" s="5">
        <v>96.0</v>
      </c>
      <c r="G8" s="5">
        <v>87.0</v>
      </c>
      <c r="H8" s="5">
        <v>89.0</v>
      </c>
      <c r="I8" s="5">
        <v>87.0</v>
      </c>
      <c r="J8" s="5">
        <v>89.0</v>
      </c>
      <c r="K8" s="5">
        <v>76.0</v>
      </c>
      <c r="L8" s="5">
        <v>80.0</v>
      </c>
      <c r="M8" s="5">
        <v>82.0</v>
      </c>
      <c r="N8" s="5">
        <v>88.0</v>
      </c>
      <c r="O8" s="5">
        <v>86.0</v>
      </c>
      <c r="P8" s="5">
        <v>94.0</v>
      </c>
      <c r="Q8" s="5">
        <v>94.0</v>
      </c>
      <c r="R8" s="5">
        <v>93.0</v>
      </c>
      <c r="S8" s="5">
        <v>79.0</v>
      </c>
      <c r="T8" s="5">
        <v>89.0</v>
      </c>
      <c r="U8" s="6">
        <v>90.0</v>
      </c>
    </row>
    <row r="9">
      <c r="A9" s="7">
        <v>45846.0</v>
      </c>
      <c r="B9" s="8">
        <v>91.0</v>
      </c>
      <c r="C9" s="8">
        <v>87.0</v>
      </c>
      <c r="D9" s="8">
        <v>95.0</v>
      </c>
      <c r="E9" s="8">
        <v>86.0</v>
      </c>
      <c r="F9" s="8">
        <v>91.0</v>
      </c>
      <c r="G9" s="8">
        <v>89.0</v>
      </c>
      <c r="H9" s="8">
        <v>89.0</v>
      </c>
      <c r="I9" s="8">
        <v>90.0</v>
      </c>
      <c r="J9" s="8">
        <v>87.0</v>
      </c>
      <c r="K9" s="8">
        <v>88.0</v>
      </c>
      <c r="L9" s="8">
        <v>82.0</v>
      </c>
      <c r="M9" s="8">
        <v>82.0</v>
      </c>
      <c r="N9" s="8">
        <v>90.0</v>
      </c>
      <c r="O9" s="8">
        <v>82.0</v>
      </c>
      <c r="P9" s="8">
        <v>97.0</v>
      </c>
      <c r="Q9" s="8">
        <v>94.0</v>
      </c>
      <c r="R9" s="8">
        <v>95.0</v>
      </c>
      <c r="S9" s="8">
        <v>88.0</v>
      </c>
      <c r="T9" s="8">
        <v>90.0</v>
      </c>
      <c r="U9" s="9">
        <v>90.0</v>
      </c>
    </row>
    <row r="10">
      <c r="A10" s="4">
        <v>45847.0</v>
      </c>
      <c r="B10" s="5">
        <v>93.0</v>
      </c>
      <c r="C10" s="5">
        <v>84.0</v>
      </c>
      <c r="D10" s="5">
        <v>95.0</v>
      </c>
      <c r="E10" s="5">
        <v>87.0</v>
      </c>
      <c r="F10" s="5">
        <v>96.0</v>
      </c>
      <c r="G10" s="5">
        <v>91.0</v>
      </c>
      <c r="H10" s="5">
        <v>90.0</v>
      </c>
      <c r="I10" s="5">
        <v>89.0</v>
      </c>
      <c r="J10" s="5">
        <v>88.0</v>
      </c>
      <c r="K10" s="5">
        <v>89.0</v>
      </c>
      <c r="L10" s="5">
        <v>84.0</v>
      </c>
      <c r="M10" s="5">
        <v>89.0</v>
      </c>
      <c r="N10" s="5">
        <v>89.0</v>
      </c>
      <c r="O10" s="5">
        <v>84.0</v>
      </c>
      <c r="P10" s="5">
        <v>96.0</v>
      </c>
      <c r="Q10" s="5">
        <v>91.0</v>
      </c>
      <c r="R10" s="5">
        <v>97.0</v>
      </c>
      <c r="S10" s="5">
        <v>88.0</v>
      </c>
      <c r="T10" s="5">
        <v>90.0</v>
      </c>
      <c r="U10" s="6">
        <v>91.0</v>
      </c>
    </row>
    <row r="11">
      <c r="A11" s="7">
        <v>45848.0</v>
      </c>
      <c r="B11" s="8">
        <v>93.0</v>
      </c>
      <c r="C11" s="8">
        <v>87.0</v>
      </c>
      <c r="D11" s="8">
        <v>91.0</v>
      </c>
      <c r="E11" s="8">
        <v>87.0</v>
      </c>
      <c r="F11" s="8">
        <v>99.0</v>
      </c>
      <c r="G11" s="8">
        <v>87.0</v>
      </c>
      <c r="H11" s="8">
        <v>91.0</v>
      </c>
      <c r="I11" s="8">
        <v>84.0</v>
      </c>
      <c r="J11" s="8">
        <v>89.0</v>
      </c>
      <c r="K11" s="8">
        <v>78.0</v>
      </c>
      <c r="L11" s="8">
        <v>84.0</v>
      </c>
      <c r="M11" s="8">
        <v>86.0</v>
      </c>
      <c r="N11" s="8">
        <v>87.0</v>
      </c>
      <c r="O11" s="8">
        <v>84.0</v>
      </c>
      <c r="P11" s="8">
        <v>90.0</v>
      </c>
      <c r="Q11" s="8">
        <v>92.0</v>
      </c>
      <c r="R11" s="8">
        <v>95.0</v>
      </c>
      <c r="S11" s="8">
        <v>87.0</v>
      </c>
      <c r="T11" s="8">
        <v>87.0</v>
      </c>
      <c r="U11" s="9">
        <v>93.0</v>
      </c>
    </row>
    <row r="12">
      <c r="A12" s="4">
        <v>45849.0</v>
      </c>
      <c r="B12" s="5">
        <v>90.0</v>
      </c>
      <c r="C12" s="5">
        <v>84.0</v>
      </c>
      <c r="D12" s="5">
        <v>91.0</v>
      </c>
      <c r="E12" s="5">
        <v>82.0</v>
      </c>
      <c r="F12" s="5">
        <v>96.0</v>
      </c>
      <c r="G12" s="5">
        <v>90.0</v>
      </c>
      <c r="H12" s="5">
        <v>84.0</v>
      </c>
      <c r="I12" s="5">
        <v>84.0</v>
      </c>
      <c r="J12" s="5">
        <v>90.0</v>
      </c>
      <c r="K12" s="5">
        <v>83.0</v>
      </c>
      <c r="L12" s="5">
        <v>90.0</v>
      </c>
      <c r="M12" s="5">
        <v>85.0</v>
      </c>
      <c r="N12" s="5">
        <v>89.0</v>
      </c>
      <c r="O12" s="5">
        <v>86.0</v>
      </c>
      <c r="P12" s="5">
        <v>93.0</v>
      </c>
      <c r="Q12" s="5">
        <v>95.0</v>
      </c>
      <c r="R12" s="5">
        <v>90.0</v>
      </c>
      <c r="S12" s="5">
        <v>80.0</v>
      </c>
      <c r="T12" s="5">
        <v>85.0</v>
      </c>
      <c r="U12" s="6">
        <v>92.0</v>
      </c>
    </row>
    <row r="13">
      <c r="A13" s="7">
        <v>45850.0</v>
      </c>
      <c r="B13" s="8">
        <v>91.0</v>
      </c>
      <c r="C13" s="8">
        <v>88.0</v>
      </c>
      <c r="D13" s="8">
        <v>86.0</v>
      </c>
      <c r="E13" s="8">
        <v>77.0</v>
      </c>
      <c r="F13" s="8">
        <v>93.0</v>
      </c>
      <c r="G13" s="8">
        <v>90.0</v>
      </c>
      <c r="H13" s="8">
        <v>77.0</v>
      </c>
      <c r="I13" s="8">
        <v>86.0</v>
      </c>
      <c r="J13" s="8">
        <v>89.0</v>
      </c>
      <c r="K13" s="8">
        <v>86.0</v>
      </c>
      <c r="L13" s="8">
        <v>91.0</v>
      </c>
      <c r="M13" s="8">
        <v>87.0</v>
      </c>
      <c r="N13" s="8">
        <v>93.0</v>
      </c>
      <c r="O13" s="8">
        <v>90.0</v>
      </c>
      <c r="P13" s="8">
        <v>90.0</v>
      </c>
      <c r="Q13" s="8">
        <v>95.0</v>
      </c>
      <c r="R13" s="8">
        <v>84.0</v>
      </c>
      <c r="S13" s="8">
        <v>87.0</v>
      </c>
      <c r="T13" s="8">
        <v>90.0</v>
      </c>
      <c r="U13" s="9">
        <v>93.0</v>
      </c>
    </row>
    <row r="14">
      <c r="A14" s="4">
        <v>45851.0</v>
      </c>
      <c r="B14" s="5">
        <v>93.0</v>
      </c>
      <c r="C14" s="5">
        <v>86.0</v>
      </c>
      <c r="D14" s="5">
        <v>88.0</v>
      </c>
      <c r="E14" s="5">
        <v>73.0</v>
      </c>
      <c r="F14" s="5">
        <v>91.0</v>
      </c>
      <c r="G14" s="5">
        <v>86.0</v>
      </c>
      <c r="H14" s="5">
        <v>82.0</v>
      </c>
      <c r="I14" s="5">
        <v>87.0</v>
      </c>
      <c r="J14" s="5">
        <v>91.0</v>
      </c>
      <c r="K14" s="5">
        <v>84.0</v>
      </c>
      <c r="L14" s="5">
        <v>91.0</v>
      </c>
      <c r="M14" s="5">
        <v>86.0</v>
      </c>
      <c r="N14" s="5">
        <v>85.0</v>
      </c>
      <c r="O14" s="5">
        <v>84.0</v>
      </c>
      <c r="P14" s="5">
        <v>91.0</v>
      </c>
      <c r="Q14" s="5">
        <v>97.0</v>
      </c>
      <c r="R14" s="5">
        <v>90.0</v>
      </c>
      <c r="S14" s="5">
        <v>78.0</v>
      </c>
      <c r="T14" s="5">
        <v>89.0</v>
      </c>
      <c r="U14" s="6">
        <v>92.0</v>
      </c>
    </row>
    <row r="15">
      <c r="A15" s="7">
        <v>45852.0</v>
      </c>
      <c r="B15" s="8">
        <v>93.0</v>
      </c>
      <c r="C15" s="8">
        <v>90.0</v>
      </c>
      <c r="D15" s="8">
        <v>87.0</v>
      </c>
      <c r="E15" s="8">
        <v>81.0</v>
      </c>
      <c r="F15" s="8">
        <v>93.0</v>
      </c>
      <c r="G15" s="8">
        <v>82.0</v>
      </c>
      <c r="H15" s="8">
        <v>88.0</v>
      </c>
      <c r="I15" s="8">
        <v>84.0</v>
      </c>
      <c r="J15" s="8">
        <v>91.0</v>
      </c>
      <c r="K15" s="8">
        <v>87.0</v>
      </c>
      <c r="L15" s="8">
        <v>91.0</v>
      </c>
      <c r="M15" s="8">
        <v>84.0</v>
      </c>
      <c r="N15" s="8">
        <v>88.0</v>
      </c>
      <c r="O15" s="8">
        <v>89.0</v>
      </c>
      <c r="P15" s="8">
        <v>91.0</v>
      </c>
      <c r="Q15" s="8">
        <v>90.0</v>
      </c>
      <c r="R15" s="8">
        <v>90.0</v>
      </c>
      <c r="S15" s="8">
        <v>85.0</v>
      </c>
      <c r="T15" s="8">
        <v>90.0</v>
      </c>
      <c r="U15" s="9">
        <v>90.0</v>
      </c>
    </row>
    <row r="16">
      <c r="A16" s="4">
        <v>45853.0</v>
      </c>
      <c r="B16" s="5">
        <v>82.0</v>
      </c>
      <c r="C16" s="5">
        <v>91.0</v>
      </c>
      <c r="D16" s="5">
        <v>91.0</v>
      </c>
      <c r="E16" s="5">
        <v>81.0</v>
      </c>
      <c r="F16" s="5">
        <v>93.0</v>
      </c>
      <c r="G16" s="5">
        <v>82.0</v>
      </c>
      <c r="H16" s="5">
        <v>91.0</v>
      </c>
      <c r="I16" s="5">
        <v>86.0</v>
      </c>
      <c r="J16" s="5">
        <v>84.0</v>
      </c>
      <c r="K16" s="5">
        <v>84.0</v>
      </c>
      <c r="L16" s="5">
        <v>91.0</v>
      </c>
      <c r="M16" s="5">
        <v>81.0</v>
      </c>
      <c r="N16" s="5">
        <v>89.0</v>
      </c>
      <c r="O16" s="5">
        <v>89.0</v>
      </c>
      <c r="P16" s="5">
        <v>94.0</v>
      </c>
      <c r="Q16" s="5">
        <v>80.0</v>
      </c>
      <c r="R16" s="5">
        <v>90.0</v>
      </c>
      <c r="S16" s="5">
        <v>86.0</v>
      </c>
      <c r="T16" s="5">
        <v>86.0</v>
      </c>
      <c r="U16" s="6">
        <v>89.0</v>
      </c>
    </row>
    <row r="17">
      <c r="A17" s="7">
        <v>45854.0</v>
      </c>
      <c r="B17" s="8">
        <v>91.0</v>
      </c>
      <c r="C17" s="8">
        <v>91.0</v>
      </c>
      <c r="D17" s="8">
        <v>87.0</v>
      </c>
      <c r="E17" s="8">
        <v>86.0</v>
      </c>
      <c r="F17" s="8">
        <v>93.0</v>
      </c>
      <c r="G17" s="8">
        <v>84.0</v>
      </c>
      <c r="H17" s="8">
        <v>93.0</v>
      </c>
      <c r="I17" s="8">
        <v>88.0</v>
      </c>
      <c r="J17" s="8">
        <v>84.0</v>
      </c>
      <c r="K17" s="8">
        <v>85.0</v>
      </c>
      <c r="L17" s="8">
        <v>91.0</v>
      </c>
      <c r="M17" s="8">
        <v>86.0</v>
      </c>
      <c r="N17" s="8">
        <v>89.0</v>
      </c>
      <c r="O17" s="8">
        <v>90.0</v>
      </c>
      <c r="P17" s="8">
        <v>89.0</v>
      </c>
      <c r="Q17" s="8">
        <v>85.0</v>
      </c>
      <c r="R17" s="8">
        <v>92.0</v>
      </c>
      <c r="S17" s="8">
        <v>87.0</v>
      </c>
      <c r="T17" s="8">
        <v>83.0</v>
      </c>
      <c r="U17" s="9">
        <v>88.0</v>
      </c>
    </row>
    <row r="18">
      <c r="A18" s="4">
        <v>45855.0</v>
      </c>
      <c r="B18" s="5">
        <v>96.0</v>
      </c>
      <c r="C18" s="5">
        <v>89.0</v>
      </c>
      <c r="D18" s="5">
        <v>90.0</v>
      </c>
      <c r="E18" s="5">
        <v>82.0</v>
      </c>
      <c r="F18" s="5">
        <v>91.0</v>
      </c>
      <c r="G18" s="5">
        <v>87.0</v>
      </c>
      <c r="H18" s="5">
        <v>93.0</v>
      </c>
      <c r="I18" s="5">
        <v>88.0</v>
      </c>
      <c r="J18" s="5">
        <v>84.0</v>
      </c>
      <c r="K18" s="5">
        <v>89.0</v>
      </c>
      <c r="L18" s="5">
        <v>93.0</v>
      </c>
      <c r="M18" s="5">
        <v>89.0</v>
      </c>
      <c r="N18" s="5">
        <v>88.0</v>
      </c>
      <c r="O18" s="5">
        <v>88.0</v>
      </c>
      <c r="P18" s="5">
        <v>87.0</v>
      </c>
      <c r="Q18" s="5">
        <v>87.0</v>
      </c>
      <c r="R18" s="5">
        <v>93.0</v>
      </c>
      <c r="S18" s="5">
        <v>91.0</v>
      </c>
      <c r="T18" s="5">
        <v>86.0</v>
      </c>
      <c r="U18" s="6">
        <v>93.0</v>
      </c>
    </row>
    <row r="19">
      <c r="A19" s="7">
        <v>45856.0</v>
      </c>
      <c r="B19" s="8">
        <v>95.0</v>
      </c>
      <c r="C19" s="8">
        <v>89.0</v>
      </c>
      <c r="D19" s="8">
        <v>91.0</v>
      </c>
      <c r="E19" s="8">
        <v>87.0</v>
      </c>
      <c r="F19" s="8">
        <v>97.0</v>
      </c>
      <c r="G19" s="8">
        <v>88.0</v>
      </c>
      <c r="H19" s="8">
        <v>93.0</v>
      </c>
      <c r="I19" s="8">
        <v>88.0</v>
      </c>
      <c r="J19" s="8">
        <v>87.0</v>
      </c>
      <c r="K19" s="8">
        <v>90.0</v>
      </c>
      <c r="L19" s="8">
        <v>93.0</v>
      </c>
      <c r="M19" s="8">
        <v>89.0</v>
      </c>
      <c r="N19" s="8">
        <v>90.0</v>
      </c>
      <c r="O19" s="8">
        <v>82.0</v>
      </c>
      <c r="P19" s="8">
        <v>83.0</v>
      </c>
      <c r="Q19" s="8">
        <v>89.0</v>
      </c>
      <c r="R19" s="8">
        <v>93.0</v>
      </c>
      <c r="S19" s="8">
        <v>87.0</v>
      </c>
      <c r="T19" s="8">
        <v>82.0</v>
      </c>
      <c r="U19" s="9">
        <v>92.0</v>
      </c>
    </row>
    <row r="20">
      <c r="A20" s="4">
        <v>45857.0</v>
      </c>
      <c r="B20" s="5">
        <v>96.0</v>
      </c>
      <c r="C20" s="5">
        <v>89.0</v>
      </c>
      <c r="D20" s="5">
        <v>95.0</v>
      </c>
      <c r="E20" s="5">
        <v>88.0</v>
      </c>
      <c r="F20" s="5">
        <v>100.0</v>
      </c>
      <c r="G20" s="5">
        <v>90.0</v>
      </c>
      <c r="H20" s="5">
        <v>93.0</v>
      </c>
      <c r="I20" s="5">
        <v>88.0</v>
      </c>
      <c r="J20" s="5">
        <v>84.0</v>
      </c>
      <c r="K20" s="5">
        <v>89.0</v>
      </c>
      <c r="L20" s="5">
        <v>96.0</v>
      </c>
      <c r="M20" s="5">
        <v>88.0</v>
      </c>
      <c r="N20" s="5">
        <v>91.0</v>
      </c>
      <c r="O20" s="5">
        <v>80.0</v>
      </c>
      <c r="P20" s="5">
        <v>90.0</v>
      </c>
      <c r="Q20" s="5">
        <v>94.0</v>
      </c>
      <c r="R20" s="5">
        <v>91.0</v>
      </c>
      <c r="S20" s="5">
        <v>90.0</v>
      </c>
      <c r="T20" s="5">
        <v>85.0</v>
      </c>
      <c r="U20" s="6">
        <v>91.0</v>
      </c>
    </row>
    <row r="21">
      <c r="A21" s="7">
        <v>45858.0</v>
      </c>
      <c r="B21" s="8">
        <v>99.0</v>
      </c>
      <c r="C21" s="8">
        <v>90.0</v>
      </c>
      <c r="D21" s="8">
        <v>91.0</v>
      </c>
      <c r="E21" s="8">
        <v>90.0</v>
      </c>
      <c r="F21" s="8">
        <v>99.0</v>
      </c>
      <c r="G21" s="8">
        <v>87.0</v>
      </c>
      <c r="H21" s="8">
        <v>91.0</v>
      </c>
      <c r="I21" s="8">
        <v>88.0</v>
      </c>
      <c r="J21" s="8">
        <v>88.0</v>
      </c>
      <c r="K21" s="8">
        <v>89.0</v>
      </c>
      <c r="L21" s="8">
        <v>93.0</v>
      </c>
      <c r="M21" s="8">
        <v>86.0</v>
      </c>
      <c r="N21" s="8">
        <v>94.0</v>
      </c>
      <c r="O21" s="8">
        <v>82.0</v>
      </c>
      <c r="P21" s="8">
        <v>91.0</v>
      </c>
      <c r="Q21" s="8">
        <v>91.0</v>
      </c>
      <c r="R21" s="8">
        <v>84.0</v>
      </c>
      <c r="S21" s="8">
        <v>86.0</v>
      </c>
      <c r="T21" s="8">
        <v>76.0</v>
      </c>
      <c r="U21" s="9">
        <v>93.0</v>
      </c>
    </row>
    <row r="22">
      <c r="A22" s="4">
        <v>45859.0</v>
      </c>
      <c r="B22" s="5">
        <v>91.0</v>
      </c>
      <c r="C22" s="5">
        <v>89.0</v>
      </c>
      <c r="D22" s="5">
        <v>91.0</v>
      </c>
      <c r="E22" s="5">
        <v>90.0</v>
      </c>
      <c r="F22" s="5">
        <v>93.0</v>
      </c>
      <c r="G22" s="5">
        <v>84.0</v>
      </c>
      <c r="H22" s="5">
        <v>95.0</v>
      </c>
      <c r="I22" s="5">
        <v>89.0</v>
      </c>
      <c r="J22" s="5">
        <v>89.0</v>
      </c>
      <c r="K22" s="5">
        <v>90.0</v>
      </c>
      <c r="L22" s="5">
        <v>93.0</v>
      </c>
      <c r="M22" s="5">
        <v>86.0</v>
      </c>
      <c r="N22" s="5">
        <v>95.0</v>
      </c>
      <c r="O22" s="5">
        <v>86.0</v>
      </c>
      <c r="P22" s="5">
        <v>94.0</v>
      </c>
      <c r="Q22" s="5">
        <v>92.0</v>
      </c>
      <c r="R22" s="5">
        <v>90.0</v>
      </c>
      <c r="S22" s="5">
        <v>87.0</v>
      </c>
      <c r="T22" s="5">
        <v>82.0</v>
      </c>
      <c r="U22" s="6">
        <v>93.0</v>
      </c>
    </row>
    <row r="23">
      <c r="A23" s="7">
        <v>45860.0</v>
      </c>
      <c r="B23" s="8">
        <v>95.0</v>
      </c>
      <c r="C23" s="8">
        <v>84.0</v>
      </c>
      <c r="D23" s="8">
        <v>89.0</v>
      </c>
      <c r="E23" s="8">
        <v>91.0</v>
      </c>
      <c r="F23" s="8">
        <v>96.0</v>
      </c>
      <c r="G23" s="8">
        <v>87.0</v>
      </c>
      <c r="H23" s="8">
        <v>91.0</v>
      </c>
      <c r="I23" s="8">
        <v>86.0</v>
      </c>
      <c r="J23" s="8">
        <v>89.0</v>
      </c>
      <c r="K23" s="8">
        <v>91.0</v>
      </c>
      <c r="L23" s="8">
        <v>91.0</v>
      </c>
      <c r="M23" s="8">
        <v>79.0</v>
      </c>
      <c r="N23" s="8">
        <v>92.0</v>
      </c>
      <c r="O23" s="8">
        <v>84.0</v>
      </c>
      <c r="P23" s="8">
        <v>95.0</v>
      </c>
      <c r="Q23" s="8">
        <v>94.0</v>
      </c>
      <c r="R23" s="8">
        <v>95.0</v>
      </c>
      <c r="S23" s="8">
        <v>85.0</v>
      </c>
      <c r="T23" s="8">
        <v>83.0</v>
      </c>
      <c r="U23" s="9">
        <v>92.0</v>
      </c>
    </row>
    <row r="24">
      <c r="A24" s="4">
        <v>45861.0</v>
      </c>
      <c r="B24" s="5">
        <v>91.0</v>
      </c>
      <c r="C24" s="5">
        <v>87.0</v>
      </c>
      <c r="D24" s="5">
        <v>91.0</v>
      </c>
      <c r="E24" s="5">
        <v>93.0</v>
      </c>
      <c r="F24" s="5">
        <v>87.0</v>
      </c>
      <c r="G24" s="5">
        <v>90.0</v>
      </c>
      <c r="H24" s="5">
        <v>89.0</v>
      </c>
      <c r="I24" s="5">
        <v>81.0</v>
      </c>
      <c r="J24" s="5">
        <v>93.0</v>
      </c>
      <c r="K24" s="5">
        <v>91.0</v>
      </c>
      <c r="L24" s="5">
        <v>86.0</v>
      </c>
      <c r="M24" s="5">
        <v>82.0</v>
      </c>
      <c r="N24" s="5">
        <v>87.0</v>
      </c>
      <c r="O24" s="5">
        <v>87.0</v>
      </c>
      <c r="P24" s="5">
        <v>97.0</v>
      </c>
      <c r="Q24" s="5">
        <v>92.0</v>
      </c>
      <c r="R24" s="5">
        <v>97.0</v>
      </c>
      <c r="S24" s="5">
        <v>84.0</v>
      </c>
      <c r="T24" s="5">
        <v>88.0</v>
      </c>
      <c r="U24" s="6">
        <v>88.0</v>
      </c>
    </row>
    <row r="25">
      <c r="A25" s="7">
        <v>45862.0</v>
      </c>
      <c r="B25" s="8">
        <v>93.0</v>
      </c>
      <c r="C25" s="8">
        <v>88.0</v>
      </c>
      <c r="D25" s="8">
        <v>91.0</v>
      </c>
      <c r="E25" s="8">
        <v>93.0</v>
      </c>
      <c r="F25" s="8">
        <v>82.0</v>
      </c>
      <c r="G25" s="8">
        <v>84.0</v>
      </c>
      <c r="H25" s="8">
        <v>87.0</v>
      </c>
      <c r="I25" s="8">
        <v>82.0</v>
      </c>
      <c r="J25" s="8">
        <v>95.0</v>
      </c>
      <c r="K25" s="8">
        <v>90.0</v>
      </c>
      <c r="L25" s="8">
        <v>87.0</v>
      </c>
      <c r="M25" s="8">
        <v>87.0</v>
      </c>
      <c r="N25" s="8">
        <v>88.0</v>
      </c>
      <c r="O25" s="8">
        <v>88.0</v>
      </c>
      <c r="P25" s="8">
        <v>94.0</v>
      </c>
      <c r="Q25" s="8">
        <v>92.0</v>
      </c>
      <c r="R25" s="8">
        <v>97.0</v>
      </c>
      <c r="S25" s="8">
        <v>86.0</v>
      </c>
      <c r="T25" s="8">
        <v>87.0</v>
      </c>
      <c r="U25" s="9">
        <v>91.0</v>
      </c>
    </row>
    <row r="26">
      <c r="A26" s="4">
        <v>45863.0</v>
      </c>
      <c r="B26" s="5">
        <v>84.0</v>
      </c>
      <c r="C26" s="5">
        <v>89.0</v>
      </c>
      <c r="D26" s="5">
        <v>86.0</v>
      </c>
      <c r="E26" s="5">
        <v>91.0</v>
      </c>
      <c r="F26" s="5">
        <v>75.0</v>
      </c>
      <c r="G26" s="5">
        <v>82.0</v>
      </c>
      <c r="H26" s="5">
        <v>84.0</v>
      </c>
      <c r="I26" s="5">
        <v>84.0</v>
      </c>
      <c r="J26" s="5">
        <v>89.0</v>
      </c>
      <c r="K26" s="5">
        <v>92.0</v>
      </c>
      <c r="L26" s="5">
        <v>88.0</v>
      </c>
      <c r="M26" s="5">
        <v>87.0</v>
      </c>
      <c r="N26" s="5">
        <v>89.0</v>
      </c>
      <c r="O26" s="5">
        <v>90.0</v>
      </c>
      <c r="P26" s="5">
        <v>95.0</v>
      </c>
      <c r="Q26" s="5">
        <v>90.0</v>
      </c>
      <c r="R26" s="5">
        <v>98.0</v>
      </c>
      <c r="S26" s="5">
        <v>89.0</v>
      </c>
      <c r="T26" s="5">
        <v>88.0</v>
      </c>
      <c r="U26" s="6">
        <v>90.0</v>
      </c>
    </row>
    <row r="27">
      <c r="A27" s="7">
        <v>45864.0</v>
      </c>
      <c r="B27" s="8">
        <v>84.0</v>
      </c>
      <c r="C27" s="8">
        <v>89.0</v>
      </c>
      <c r="D27" s="8">
        <v>88.0</v>
      </c>
      <c r="E27" s="8">
        <v>93.0</v>
      </c>
      <c r="F27" s="8">
        <v>82.0</v>
      </c>
      <c r="G27" s="8">
        <v>88.0</v>
      </c>
      <c r="H27" s="8">
        <v>86.0</v>
      </c>
      <c r="I27" s="8">
        <v>87.0</v>
      </c>
      <c r="J27" s="8">
        <v>87.0</v>
      </c>
      <c r="K27" s="8">
        <v>94.0</v>
      </c>
      <c r="L27" s="8">
        <v>93.0</v>
      </c>
      <c r="M27" s="8">
        <v>87.0</v>
      </c>
      <c r="N27" s="8">
        <v>87.0</v>
      </c>
      <c r="O27" s="8">
        <v>92.0</v>
      </c>
      <c r="P27" s="8">
        <v>95.0</v>
      </c>
      <c r="Q27" s="8">
        <v>94.0</v>
      </c>
      <c r="R27" s="8">
        <v>98.0</v>
      </c>
      <c r="S27" s="8">
        <v>86.0</v>
      </c>
      <c r="T27" s="8">
        <v>89.0</v>
      </c>
      <c r="U27" s="9">
        <v>91.0</v>
      </c>
    </row>
    <row r="28">
      <c r="A28" s="4">
        <v>45865.0</v>
      </c>
      <c r="B28" s="5">
        <v>82.0</v>
      </c>
      <c r="C28" s="5">
        <v>91.0</v>
      </c>
      <c r="D28" s="5">
        <v>80.0</v>
      </c>
      <c r="E28" s="5">
        <v>93.0</v>
      </c>
      <c r="F28" s="5">
        <v>88.0</v>
      </c>
      <c r="G28" s="5">
        <v>90.0</v>
      </c>
      <c r="H28" s="5">
        <v>89.0</v>
      </c>
      <c r="I28" s="5">
        <v>87.0</v>
      </c>
      <c r="J28" s="5">
        <v>84.0</v>
      </c>
      <c r="K28" s="5">
        <v>92.0</v>
      </c>
      <c r="L28" s="5">
        <v>95.0</v>
      </c>
      <c r="M28" s="5">
        <v>90.0</v>
      </c>
      <c r="N28" s="5">
        <v>90.0</v>
      </c>
      <c r="O28" s="5">
        <v>90.0</v>
      </c>
      <c r="P28" s="5">
        <v>93.0</v>
      </c>
      <c r="Q28" s="5">
        <v>94.0</v>
      </c>
      <c r="R28" s="5">
        <v>97.0</v>
      </c>
      <c r="S28" s="5">
        <v>82.0</v>
      </c>
      <c r="T28" s="5">
        <v>92.0</v>
      </c>
      <c r="U28" s="6">
        <v>92.0</v>
      </c>
    </row>
    <row r="29">
      <c r="A29" s="7">
        <v>45866.0</v>
      </c>
      <c r="B29" s="8">
        <v>79.0</v>
      </c>
      <c r="C29" s="8">
        <v>91.0</v>
      </c>
      <c r="D29" s="8">
        <v>88.0</v>
      </c>
      <c r="E29" s="8">
        <v>93.0</v>
      </c>
      <c r="F29" s="8">
        <v>91.0</v>
      </c>
      <c r="G29" s="8">
        <v>84.0</v>
      </c>
      <c r="H29" s="8">
        <v>91.0</v>
      </c>
      <c r="I29" s="8">
        <v>89.0</v>
      </c>
      <c r="J29" s="8">
        <v>89.0</v>
      </c>
      <c r="K29" s="8">
        <v>90.0</v>
      </c>
      <c r="L29" s="8">
        <v>96.0</v>
      </c>
      <c r="M29" s="8">
        <v>89.0</v>
      </c>
      <c r="N29" s="8">
        <v>93.0</v>
      </c>
      <c r="O29" s="8">
        <v>89.0</v>
      </c>
      <c r="P29" s="8">
        <v>90.0</v>
      </c>
      <c r="Q29" s="8">
        <v>90.0</v>
      </c>
      <c r="R29" s="8">
        <v>97.0</v>
      </c>
      <c r="S29" s="8">
        <v>86.0</v>
      </c>
      <c r="T29" s="8">
        <v>90.0</v>
      </c>
      <c r="U29" s="9">
        <v>94.0</v>
      </c>
    </row>
    <row r="30">
      <c r="A30" s="4">
        <v>45867.0</v>
      </c>
      <c r="B30" s="5">
        <v>90.0</v>
      </c>
      <c r="C30" s="5">
        <v>89.0</v>
      </c>
      <c r="D30" s="5">
        <v>89.0</v>
      </c>
      <c r="E30" s="5">
        <v>93.0</v>
      </c>
      <c r="F30" s="5">
        <v>89.0</v>
      </c>
      <c r="G30" s="5">
        <v>89.0</v>
      </c>
      <c r="H30" s="5">
        <v>91.0</v>
      </c>
      <c r="I30" s="5">
        <v>88.0</v>
      </c>
      <c r="J30" s="5">
        <v>87.0</v>
      </c>
      <c r="K30" s="5">
        <v>83.0</v>
      </c>
      <c r="L30" s="5">
        <v>91.0</v>
      </c>
      <c r="M30" s="5">
        <v>87.0</v>
      </c>
      <c r="N30" s="5">
        <v>92.0</v>
      </c>
      <c r="O30" s="5">
        <v>85.0</v>
      </c>
      <c r="P30" s="5">
        <v>94.0</v>
      </c>
      <c r="Q30" s="5">
        <v>93.0</v>
      </c>
      <c r="R30" s="5">
        <v>94.0</v>
      </c>
      <c r="S30" s="5">
        <v>86.0</v>
      </c>
      <c r="T30" s="5">
        <v>82.0</v>
      </c>
      <c r="U30" s="6">
        <v>93.0</v>
      </c>
    </row>
    <row r="31">
      <c r="A31" s="7">
        <v>45868.0</v>
      </c>
      <c r="B31" s="8">
        <v>91.0</v>
      </c>
      <c r="C31" s="8">
        <v>88.0</v>
      </c>
      <c r="D31" s="8">
        <v>90.0</v>
      </c>
      <c r="E31" s="8">
        <v>97.0</v>
      </c>
      <c r="F31" s="8">
        <v>87.0</v>
      </c>
      <c r="G31" s="8">
        <v>89.0</v>
      </c>
      <c r="H31" s="8">
        <v>88.0</v>
      </c>
      <c r="I31" s="8">
        <v>84.0</v>
      </c>
      <c r="J31" s="8">
        <v>89.0</v>
      </c>
      <c r="K31" s="8">
        <v>78.0</v>
      </c>
      <c r="L31" s="8">
        <v>91.0</v>
      </c>
      <c r="M31" s="8">
        <v>92.0</v>
      </c>
      <c r="N31" s="8">
        <v>90.0</v>
      </c>
      <c r="O31" s="8">
        <v>82.0</v>
      </c>
      <c r="P31" s="8">
        <v>95.0</v>
      </c>
      <c r="Q31" s="8">
        <v>96.0</v>
      </c>
      <c r="R31" s="8">
        <v>96.0</v>
      </c>
      <c r="S31" s="8">
        <v>90.0</v>
      </c>
      <c r="T31" s="8">
        <v>84.0</v>
      </c>
      <c r="U31" s="9">
        <v>94.0</v>
      </c>
    </row>
    <row r="32">
      <c r="A32" s="4">
        <v>45869.0</v>
      </c>
      <c r="B32" s="5">
        <v>87.0</v>
      </c>
      <c r="C32" s="5">
        <v>72.0</v>
      </c>
      <c r="D32" s="5">
        <v>86.0</v>
      </c>
      <c r="E32" s="5">
        <v>99.0</v>
      </c>
      <c r="F32" s="5">
        <v>86.0</v>
      </c>
      <c r="G32" s="5">
        <v>87.0</v>
      </c>
      <c r="H32" s="5">
        <v>90.0</v>
      </c>
      <c r="I32" s="5">
        <v>88.0</v>
      </c>
      <c r="J32" s="5">
        <v>90.0</v>
      </c>
      <c r="K32" s="5">
        <v>84.0</v>
      </c>
      <c r="L32" s="5">
        <v>94.0</v>
      </c>
      <c r="M32" s="5">
        <v>90.0</v>
      </c>
      <c r="N32" s="5">
        <v>88.0</v>
      </c>
      <c r="O32" s="5">
        <v>85.0</v>
      </c>
      <c r="P32" s="5">
        <v>95.0</v>
      </c>
      <c r="Q32" s="5">
        <v>96.0</v>
      </c>
      <c r="R32" s="5">
        <v>88.0</v>
      </c>
      <c r="S32" s="5">
        <v>80.0</v>
      </c>
      <c r="T32" s="5">
        <v>85.0</v>
      </c>
      <c r="U32" s="6">
        <v>93.0</v>
      </c>
    </row>
    <row r="33">
      <c r="A33" s="7">
        <v>45870.0</v>
      </c>
      <c r="B33" s="8">
        <v>86.0</v>
      </c>
      <c r="C33" s="8">
        <v>80.0</v>
      </c>
      <c r="D33" s="8">
        <v>86.0</v>
      </c>
      <c r="E33" s="8">
        <v>96.0</v>
      </c>
      <c r="F33" s="8">
        <v>86.0</v>
      </c>
      <c r="G33" s="8">
        <v>84.0</v>
      </c>
      <c r="H33" s="8">
        <v>93.0</v>
      </c>
      <c r="I33" s="8">
        <v>84.0</v>
      </c>
      <c r="J33" s="8">
        <v>91.0</v>
      </c>
      <c r="K33" s="8">
        <v>82.0</v>
      </c>
      <c r="L33" s="8">
        <v>95.0</v>
      </c>
      <c r="M33" s="8">
        <v>92.0</v>
      </c>
      <c r="N33" s="8">
        <v>89.0</v>
      </c>
      <c r="O33" s="8">
        <v>89.0</v>
      </c>
      <c r="P33" s="8">
        <v>96.0</v>
      </c>
      <c r="Q33" s="8">
        <v>91.0</v>
      </c>
      <c r="R33" s="8">
        <v>94.0</v>
      </c>
      <c r="S33" s="8">
        <v>87.0</v>
      </c>
      <c r="T33" s="8">
        <v>81.0</v>
      </c>
      <c r="U33" s="9">
        <v>89.0</v>
      </c>
    </row>
    <row r="34">
      <c r="A34" s="4">
        <v>45871.0</v>
      </c>
      <c r="B34" s="5">
        <v>90.0</v>
      </c>
      <c r="C34" s="5">
        <v>84.0</v>
      </c>
      <c r="D34" s="5">
        <v>82.0</v>
      </c>
      <c r="E34" s="5">
        <v>93.0</v>
      </c>
      <c r="F34" s="5">
        <v>81.0</v>
      </c>
      <c r="G34" s="5">
        <v>84.0</v>
      </c>
      <c r="H34" s="5">
        <v>91.0</v>
      </c>
      <c r="I34" s="5">
        <v>84.0</v>
      </c>
      <c r="J34" s="5">
        <v>90.0</v>
      </c>
      <c r="K34" s="5">
        <v>86.0</v>
      </c>
      <c r="L34" s="5">
        <v>95.0</v>
      </c>
      <c r="M34" s="5">
        <v>92.0</v>
      </c>
      <c r="N34" s="5">
        <v>92.0</v>
      </c>
      <c r="O34" s="5">
        <v>83.0</v>
      </c>
      <c r="P34" s="5">
        <v>84.0</v>
      </c>
      <c r="Q34" s="5">
        <v>96.0</v>
      </c>
      <c r="R34" s="5">
        <v>99.0</v>
      </c>
      <c r="S34" s="5">
        <v>89.0</v>
      </c>
      <c r="T34" s="5">
        <v>84.0</v>
      </c>
      <c r="U34" s="6">
        <v>94.0</v>
      </c>
    </row>
    <row r="35">
      <c r="A35" s="7">
        <v>45872.0</v>
      </c>
      <c r="B35" s="8">
        <v>84.0</v>
      </c>
      <c r="C35" s="8">
        <v>88.0</v>
      </c>
      <c r="D35" s="8">
        <v>84.0</v>
      </c>
      <c r="E35" s="8">
        <v>88.0</v>
      </c>
      <c r="F35" s="8">
        <v>84.0</v>
      </c>
      <c r="G35" s="8">
        <v>84.0</v>
      </c>
      <c r="H35" s="8">
        <v>91.0</v>
      </c>
      <c r="I35" s="8">
        <v>84.0</v>
      </c>
      <c r="J35" s="8">
        <v>91.0</v>
      </c>
      <c r="K35" s="8">
        <v>88.0</v>
      </c>
      <c r="L35" s="8">
        <v>97.0</v>
      </c>
      <c r="M35" s="8">
        <v>94.0</v>
      </c>
      <c r="N35" s="8">
        <v>91.0</v>
      </c>
      <c r="O35" s="8">
        <v>90.0</v>
      </c>
      <c r="P35" s="8">
        <v>92.0</v>
      </c>
      <c r="Q35" s="8">
        <v>97.0</v>
      </c>
      <c r="R35" s="8">
        <v>94.0</v>
      </c>
      <c r="S35" s="8">
        <v>88.0</v>
      </c>
      <c r="T35" s="8">
        <v>88.0</v>
      </c>
      <c r="U35" s="9">
        <v>94.0</v>
      </c>
    </row>
    <row r="36">
      <c r="A36" s="4">
        <v>45873.0</v>
      </c>
      <c r="B36" s="5">
        <v>91.0</v>
      </c>
      <c r="C36" s="5">
        <v>89.0</v>
      </c>
      <c r="D36" s="5">
        <v>86.0</v>
      </c>
      <c r="E36" s="5">
        <v>89.0</v>
      </c>
      <c r="F36" s="5">
        <v>88.0</v>
      </c>
      <c r="G36" s="5">
        <v>86.0</v>
      </c>
      <c r="H36" s="5">
        <v>91.0</v>
      </c>
      <c r="I36" s="5">
        <v>82.0</v>
      </c>
      <c r="J36" s="5">
        <v>91.0</v>
      </c>
      <c r="K36" s="5">
        <v>91.0</v>
      </c>
      <c r="L36" s="5">
        <v>98.0</v>
      </c>
      <c r="M36" s="5">
        <v>97.0</v>
      </c>
      <c r="N36" s="5">
        <v>91.0</v>
      </c>
      <c r="O36" s="5">
        <v>92.0</v>
      </c>
      <c r="P36" s="5">
        <v>95.0</v>
      </c>
      <c r="Q36" s="5">
        <v>85.0</v>
      </c>
      <c r="R36" s="5">
        <v>87.0</v>
      </c>
      <c r="S36" s="5">
        <v>90.0</v>
      </c>
      <c r="T36" s="5">
        <v>90.0</v>
      </c>
      <c r="U36" s="6">
        <v>97.0</v>
      </c>
    </row>
    <row r="37">
      <c r="A37" s="7">
        <v>45874.0</v>
      </c>
      <c r="B37" s="8">
        <v>93.0</v>
      </c>
      <c r="C37" s="8">
        <v>88.0</v>
      </c>
      <c r="D37" s="8">
        <v>90.0</v>
      </c>
      <c r="E37" s="8">
        <v>91.0</v>
      </c>
      <c r="F37" s="8">
        <v>91.0</v>
      </c>
      <c r="G37" s="8">
        <v>88.0</v>
      </c>
      <c r="H37" s="8">
        <v>93.0</v>
      </c>
      <c r="I37" s="8">
        <v>84.0</v>
      </c>
      <c r="J37" s="8">
        <v>90.0</v>
      </c>
      <c r="K37" s="8">
        <v>88.0</v>
      </c>
      <c r="L37" s="8">
        <v>96.0</v>
      </c>
      <c r="M37" s="8">
        <v>96.0</v>
      </c>
      <c r="N37" s="8">
        <v>92.0</v>
      </c>
      <c r="O37" s="8">
        <v>92.0</v>
      </c>
      <c r="P37" s="8">
        <v>93.0</v>
      </c>
      <c r="Q37" s="8">
        <v>96.0</v>
      </c>
      <c r="R37" s="8">
        <v>90.0</v>
      </c>
      <c r="S37" s="8">
        <v>88.0</v>
      </c>
      <c r="T37" s="8">
        <v>89.0</v>
      </c>
      <c r="U37" s="9">
        <v>95.0</v>
      </c>
    </row>
    <row r="38">
      <c r="A38" s="4">
        <v>45875.0</v>
      </c>
      <c r="B38" s="5">
        <v>88.0</v>
      </c>
      <c r="C38" s="5">
        <v>84.0</v>
      </c>
      <c r="D38" s="5">
        <v>89.0</v>
      </c>
      <c r="E38" s="5">
        <v>93.0</v>
      </c>
      <c r="F38" s="5">
        <v>91.0</v>
      </c>
      <c r="G38" s="5">
        <v>84.0</v>
      </c>
      <c r="H38" s="5">
        <v>97.0</v>
      </c>
      <c r="I38" s="5">
        <v>82.0</v>
      </c>
      <c r="J38" s="5">
        <v>84.0</v>
      </c>
      <c r="K38" s="5">
        <v>86.0</v>
      </c>
      <c r="L38" s="5">
        <v>89.0</v>
      </c>
      <c r="M38" s="5">
        <v>98.0</v>
      </c>
      <c r="N38" s="5">
        <v>94.0</v>
      </c>
      <c r="O38" s="5">
        <v>89.0</v>
      </c>
      <c r="P38" s="5">
        <v>93.0</v>
      </c>
      <c r="Q38" s="5">
        <v>93.0</v>
      </c>
      <c r="R38" s="5">
        <v>86.0</v>
      </c>
      <c r="S38" s="5">
        <v>88.0</v>
      </c>
      <c r="T38" s="5">
        <v>92.0</v>
      </c>
      <c r="U38" s="6">
        <v>88.0</v>
      </c>
    </row>
    <row r="39">
      <c r="A39" s="7">
        <v>45876.0</v>
      </c>
      <c r="B39" s="8">
        <v>91.0</v>
      </c>
      <c r="C39" s="8">
        <v>84.0</v>
      </c>
      <c r="D39" s="8">
        <v>89.0</v>
      </c>
      <c r="E39" s="8">
        <v>93.0</v>
      </c>
      <c r="F39" s="8">
        <v>91.0</v>
      </c>
      <c r="G39" s="8">
        <v>86.0</v>
      </c>
      <c r="H39" s="8">
        <v>87.0</v>
      </c>
      <c r="I39" s="8">
        <v>84.0</v>
      </c>
      <c r="J39" s="8">
        <v>81.0</v>
      </c>
      <c r="K39" s="8">
        <v>80.0</v>
      </c>
      <c r="L39" s="8">
        <v>97.0</v>
      </c>
      <c r="M39" s="8">
        <v>98.0</v>
      </c>
      <c r="N39" s="8">
        <v>90.0</v>
      </c>
      <c r="O39" s="8">
        <v>91.0</v>
      </c>
      <c r="P39" s="8">
        <v>91.0</v>
      </c>
      <c r="Q39" s="8">
        <v>93.0</v>
      </c>
      <c r="R39" s="8">
        <v>84.0</v>
      </c>
      <c r="S39" s="8">
        <v>86.0</v>
      </c>
      <c r="T39" s="8">
        <v>95.0</v>
      </c>
      <c r="U39" s="9">
        <v>88.0</v>
      </c>
    </row>
    <row r="40">
      <c r="A40" s="4">
        <v>45877.0</v>
      </c>
      <c r="B40" s="5">
        <v>84.0</v>
      </c>
      <c r="C40" s="5">
        <v>80.0</v>
      </c>
      <c r="D40" s="5">
        <v>86.0</v>
      </c>
      <c r="E40" s="5">
        <v>93.0</v>
      </c>
      <c r="F40" s="5">
        <v>91.0</v>
      </c>
      <c r="G40" s="5">
        <v>88.0</v>
      </c>
      <c r="H40" s="5">
        <v>87.0</v>
      </c>
      <c r="I40" s="5">
        <v>84.0</v>
      </c>
      <c r="J40" s="5">
        <v>82.0</v>
      </c>
      <c r="K40" s="5">
        <v>82.0</v>
      </c>
      <c r="L40" s="5">
        <v>96.0</v>
      </c>
      <c r="M40" s="5">
        <v>100.0</v>
      </c>
      <c r="N40" s="5">
        <v>86.0</v>
      </c>
      <c r="O40" s="5">
        <v>92.0</v>
      </c>
      <c r="P40" s="5">
        <v>93.0</v>
      </c>
      <c r="Q40" s="5">
        <v>94.0</v>
      </c>
      <c r="R40" s="5">
        <v>92.0</v>
      </c>
      <c r="S40" s="5">
        <v>83.0</v>
      </c>
      <c r="T40" s="5">
        <v>90.0</v>
      </c>
      <c r="U40" s="6">
        <v>92.0</v>
      </c>
    </row>
    <row r="41">
      <c r="A41" s="7">
        <v>45878.0</v>
      </c>
      <c r="B41" s="8">
        <v>90.0</v>
      </c>
      <c r="C41" s="8">
        <v>73.0</v>
      </c>
      <c r="D41" s="8">
        <v>82.0</v>
      </c>
      <c r="E41" s="8">
        <v>91.0</v>
      </c>
      <c r="F41" s="8">
        <v>96.0</v>
      </c>
      <c r="G41" s="8">
        <v>87.0</v>
      </c>
      <c r="H41" s="8">
        <v>86.0</v>
      </c>
      <c r="I41" s="8">
        <v>86.0</v>
      </c>
      <c r="J41" s="8">
        <v>84.0</v>
      </c>
      <c r="K41" s="8">
        <v>85.0</v>
      </c>
      <c r="L41" s="8">
        <v>95.0</v>
      </c>
      <c r="M41" s="8">
        <v>103.0</v>
      </c>
      <c r="N41" s="8">
        <v>85.0</v>
      </c>
      <c r="O41" s="8">
        <v>93.0</v>
      </c>
      <c r="P41" s="8">
        <v>94.0</v>
      </c>
      <c r="Q41" s="8">
        <v>91.0</v>
      </c>
      <c r="R41" s="8">
        <v>88.0</v>
      </c>
      <c r="S41" s="8">
        <v>89.0</v>
      </c>
      <c r="T41" s="8">
        <v>89.0</v>
      </c>
      <c r="U41" s="9">
        <v>93.0</v>
      </c>
    </row>
    <row r="42">
      <c r="A42" s="4">
        <v>45879.0</v>
      </c>
      <c r="B42" s="5">
        <v>89.0</v>
      </c>
      <c r="C42" s="5">
        <v>80.0</v>
      </c>
      <c r="D42" s="5">
        <v>87.0</v>
      </c>
      <c r="E42" s="5">
        <v>90.0</v>
      </c>
      <c r="F42" s="5">
        <v>95.0</v>
      </c>
      <c r="G42" s="5">
        <v>88.0</v>
      </c>
      <c r="H42" s="5">
        <v>88.0</v>
      </c>
      <c r="I42" s="5">
        <v>87.0</v>
      </c>
      <c r="J42" s="5">
        <v>75.0</v>
      </c>
      <c r="K42" s="5">
        <v>83.0</v>
      </c>
      <c r="L42" s="5">
        <v>96.0</v>
      </c>
      <c r="M42" s="5">
        <v>103.0</v>
      </c>
      <c r="N42" s="5">
        <v>85.0</v>
      </c>
      <c r="O42" s="5">
        <v>93.0</v>
      </c>
      <c r="P42" s="5">
        <v>94.0</v>
      </c>
      <c r="Q42" s="5">
        <v>95.0</v>
      </c>
      <c r="R42" s="5">
        <v>87.0</v>
      </c>
      <c r="S42" s="5">
        <v>90.0</v>
      </c>
      <c r="T42" s="5">
        <v>86.0</v>
      </c>
      <c r="U42" s="6">
        <v>94.0</v>
      </c>
    </row>
    <row r="43">
      <c r="A43" s="7">
        <v>45880.0</v>
      </c>
      <c r="B43" s="8">
        <v>88.0</v>
      </c>
      <c r="C43" s="8">
        <v>86.0</v>
      </c>
      <c r="D43" s="8">
        <v>88.0</v>
      </c>
      <c r="E43" s="8">
        <v>96.0</v>
      </c>
      <c r="F43" s="8">
        <v>89.0</v>
      </c>
      <c r="G43" s="8">
        <v>86.0</v>
      </c>
      <c r="H43" s="8">
        <v>89.0</v>
      </c>
      <c r="I43" s="8">
        <v>84.0</v>
      </c>
      <c r="J43" s="8">
        <v>82.0</v>
      </c>
      <c r="K43" s="8">
        <v>87.0</v>
      </c>
      <c r="L43" s="8">
        <v>88.0</v>
      </c>
      <c r="M43" s="8">
        <v>100.0</v>
      </c>
      <c r="N43" s="8">
        <v>88.0</v>
      </c>
      <c r="O43" s="8">
        <v>95.0</v>
      </c>
      <c r="P43" s="8">
        <v>95.0</v>
      </c>
      <c r="Q43" s="8">
        <v>94.0</v>
      </c>
      <c r="R43" s="8">
        <v>85.0</v>
      </c>
      <c r="S43" s="8">
        <v>90.0</v>
      </c>
      <c r="T43" s="8">
        <v>83.0</v>
      </c>
      <c r="U43" s="9">
        <v>91.0</v>
      </c>
    </row>
    <row r="44">
      <c r="A44" s="4">
        <v>45881.0</v>
      </c>
      <c r="B44" s="5">
        <v>86.0</v>
      </c>
      <c r="C44" s="5">
        <v>88.0</v>
      </c>
      <c r="D44" s="5">
        <v>84.0</v>
      </c>
      <c r="E44" s="5">
        <v>98.0</v>
      </c>
      <c r="F44" s="5">
        <v>89.0</v>
      </c>
      <c r="G44" s="5">
        <v>86.0</v>
      </c>
      <c r="H44" s="5">
        <v>91.0</v>
      </c>
      <c r="I44" s="5">
        <v>81.0</v>
      </c>
      <c r="J44" s="5">
        <v>80.0</v>
      </c>
      <c r="K44" s="5">
        <v>88.0</v>
      </c>
      <c r="L44" s="5">
        <v>84.0</v>
      </c>
      <c r="M44" s="5">
        <v>90.0</v>
      </c>
      <c r="N44" s="5">
        <v>81.0</v>
      </c>
      <c r="O44" s="5">
        <v>86.0</v>
      </c>
      <c r="P44" s="5">
        <v>95.0</v>
      </c>
      <c r="Q44" s="5">
        <v>95.0</v>
      </c>
      <c r="R44" s="5">
        <v>88.0</v>
      </c>
      <c r="S44" s="5">
        <v>90.0</v>
      </c>
      <c r="T44" s="5">
        <v>88.0</v>
      </c>
      <c r="U44" s="6">
        <v>90.0</v>
      </c>
    </row>
    <row r="45">
      <c r="A45" s="7">
        <v>45882.0</v>
      </c>
      <c r="B45" s="8">
        <v>84.0</v>
      </c>
      <c r="C45" s="8">
        <v>88.0</v>
      </c>
      <c r="D45" s="8">
        <v>86.0</v>
      </c>
      <c r="E45" s="8">
        <v>97.0</v>
      </c>
      <c r="F45" s="8">
        <v>89.0</v>
      </c>
      <c r="G45" s="8">
        <v>81.0</v>
      </c>
      <c r="H45" s="8">
        <v>91.0</v>
      </c>
      <c r="I45" s="8">
        <v>87.0</v>
      </c>
      <c r="J45" s="8">
        <v>77.0</v>
      </c>
      <c r="K45" s="8">
        <v>86.0</v>
      </c>
      <c r="L45" s="8">
        <v>81.0</v>
      </c>
      <c r="M45" s="8">
        <v>100.0</v>
      </c>
      <c r="N45" s="8">
        <v>81.0</v>
      </c>
      <c r="O45" s="8">
        <v>90.0</v>
      </c>
      <c r="P45" s="8">
        <v>96.0</v>
      </c>
      <c r="Q45" s="8">
        <v>95.0</v>
      </c>
      <c r="R45" s="8">
        <v>91.0</v>
      </c>
      <c r="S45" s="8">
        <v>89.0</v>
      </c>
      <c r="T45" s="8">
        <v>84.0</v>
      </c>
      <c r="U45" s="9">
        <v>89.0</v>
      </c>
    </row>
    <row r="46">
      <c r="A46" s="4">
        <v>45883.0</v>
      </c>
      <c r="B46" s="5">
        <v>86.0</v>
      </c>
      <c r="C46" s="5">
        <v>87.0</v>
      </c>
      <c r="D46" s="5">
        <v>80.0</v>
      </c>
      <c r="E46" s="5">
        <v>98.0</v>
      </c>
      <c r="F46" s="5">
        <v>89.0</v>
      </c>
      <c r="G46" s="5">
        <v>87.0</v>
      </c>
      <c r="H46" s="5">
        <v>89.0</v>
      </c>
      <c r="I46" s="5">
        <v>89.0</v>
      </c>
      <c r="J46" s="5">
        <v>82.0</v>
      </c>
      <c r="K46" s="5">
        <v>90.0</v>
      </c>
      <c r="L46" s="5">
        <v>87.0</v>
      </c>
      <c r="M46" s="5">
        <v>99.0</v>
      </c>
      <c r="N46" s="5">
        <v>84.0</v>
      </c>
      <c r="O46" s="5">
        <v>90.0</v>
      </c>
      <c r="P46" s="5">
        <v>89.0</v>
      </c>
      <c r="Q46" s="5">
        <v>94.0</v>
      </c>
      <c r="R46" s="5">
        <v>88.0</v>
      </c>
      <c r="S46" s="5">
        <v>83.0</v>
      </c>
      <c r="T46" s="5">
        <v>85.0</v>
      </c>
      <c r="U46" s="6">
        <v>90.0</v>
      </c>
    </row>
    <row r="47">
      <c r="A47" s="7">
        <v>45884.0</v>
      </c>
      <c r="B47" s="8">
        <v>89.0</v>
      </c>
      <c r="C47" s="8">
        <v>88.0</v>
      </c>
      <c r="D47" s="8">
        <v>82.0</v>
      </c>
      <c r="E47" s="8">
        <v>93.0</v>
      </c>
      <c r="F47" s="8">
        <v>94.0</v>
      </c>
      <c r="G47" s="8">
        <v>84.0</v>
      </c>
      <c r="H47" s="8">
        <v>88.0</v>
      </c>
      <c r="I47" s="8">
        <v>90.0</v>
      </c>
      <c r="J47" s="8">
        <v>82.0</v>
      </c>
      <c r="K47" s="8">
        <v>92.0</v>
      </c>
      <c r="L47" s="8">
        <v>86.0</v>
      </c>
      <c r="M47" s="8">
        <v>102.0</v>
      </c>
      <c r="N47" s="8">
        <v>87.0</v>
      </c>
      <c r="O47" s="8">
        <v>90.0</v>
      </c>
      <c r="P47" s="8">
        <v>90.0</v>
      </c>
      <c r="Q47" s="8">
        <v>88.0</v>
      </c>
      <c r="R47" s="8">
        <v>85.0</v>
      </c>
      <c r="S47" s="8">
        <v>73.0</v>
      </c>
      <c r="T47" s="8">
        <v>87.0</v>
      </c>
      <c r="U47" s="9">
        <v>90.0</v>
      </c>
    </row>
    <row r="48">
      <c r="A48" s="4">
        <v>45885.0</v>
      </c>
      <c r="B48" s="5">
        <v>90.0</v>
      </c>
      <c r="C48" s="5">
        <v>91.0</v>
      </c>
      <c r="D48" s="5">
        <v>86.0</v>
      </c>
      <c r="E48" s="5">
        <v>93.0</v>
      </c>
      <c r="F48" s="5">
        <v>97.0</v>
      </c>
      <c r="G48" s="5">
        <v>90.0</v>
      </c>
      <c r="H48" s="5">
        <v>90.0</v>
      </c>
      <c r="I48" s="5">
        <v>86.0</v>
      </c>
      <c r="J48" s="5">
        <v>84.0</v>
      </c>
      <c r="K48" s="5">
        <v>89.0</v>
      </c>
      <c r="L48" s="5">
        <v>89.0</v>
      </c>
      <c r="M48" s="5">
        <v>101.0</v>
      </c>
      <c r="N48" s="5">
        <v>86.0</v>
      </c>
      <c r="O48" s="5">
        <v>88.0</v>
      </c>
      <c r="P48" s="5">
        <v>90.0</v>
      </c>
      <c r="Q48" s="5">
        <v>90.0</v>
      </c>
      <c r="R48" s="5">
        <v>91.0</v>
      </c>
      <c r="S48" s="5">
        <v>67.0</v>
      </c>
      <c r="T48" s="5">
        <v>88.0</v>
      </c>
      <c r="U48" s="6">
        <v>90.0</v>
      </c>
    </row>
    <row r="49">
      <c r="A49" s="7">
        <v>45886.0</v>
      </c>
      <c r="B49" s="8">
        <v>91.0</v>
      </c>
      <c r="C49" s="8">
        <v>91.0</v>
      </c>
      <c r="D49" s="8">
        <v>84.0</v>
      </c>
      <c r="E49" s="8">
        <v>96.0</v>
      </c>
      <c r="F49" s="8">
        <v>99.0</v>
      </c>
      <c r="G49" s="8">
        <v>91.0</v>
      </c>
      <c r="H49" s="8">
        <v>91.0</v>
      </c>
      <c r="I49" s="8">
        <v>89.0</v>
      </c>
      <c r="J49" s="8">
        <v>86.0</v>
      </c>
      <c r="K49" s="8">
        <v>90.0</v>
      </c>
      <c r="L49" s="8">
        <v>86.0</v>
      </c>
      <c r="M49" s="8">
        <v>101.0</v>
      </c>
      <c r="N49" s="8">
        <v>85.0</v>
      </c>
      <c r="O49" s="8">
        <v>87.0</v>
      </c>
      <c r="P49" s="8">
        <v>91.0</v>
      </c>
      <c r="Q49" s="8">
        <v>92.0</v>
      </c>
      <c r="R49" s="8">
        <v>87.0</v>
      </c>
      <c r="S49" s="8">
        <v>66.0</v>
      </c>
      <c r="T49" s="8">
        <v>89.0</v>
      </c>
      <c r="U49" s="9">
        <v>89.0</v>
      </c>
    </row>
    <row r="50">
      <c r="A50" s="4">
        <v>45887.0</v>
      </c>
      <c r="B50" s="5">
        <v>91.0</v>
      </c>
      <c r="C50" s="5">
        <v>89.0</v>
      </c>
      <c r="D50" s="5">
        <v>87.0</v>
      </c>
      <c r="E50" s="5">
        <v>98.0</v>
      </c>
      <c r="F50" s="5">
        <v>101.0</v>
      </c>
      <c r="G50" s="5">
        <v>91.0</v>
      </c>
      <c r="H50" s="5">
        <v>93.0</v>
      </c>
      <c r="I50" s="5">
        <v>90.0</v>
      </c>
      <c r="J50" s="5">
        <v>86.0</v>
      </c>
      <c r="K50" s="5">
        <v>90.0</v>
      </c>
      <c r="L50" s="5">
        <v>88.0</v>
      </c>
      <c r="M50" s="5">
        <v>97.0</v>
      </c>
      <c r="N50" s="5">
        <v>86.0</v>
      </c>
      <c r="O50" s="5">
        <v>88.0</v>
      </c>
      <c r="P50" s="5">
        <v>93.0</v>
      </c>
      <c r="Q50" s="5">
        <v>94.0</v>
      </c>
      <c r="R50" s="5">
        <v>87.0</v>
      </c>
      <c r="S50" s="5">
        <v>77.0</v>
      </c>
      <c r="T50" s="5">
        <v>89.0</v>
      </c>
      <c r="U50" s="6">
        <v>88.0</v>
      </c>
    </row>
    <row r="51">
      <c r="A51" s="7">
        <v>45888.0</v>
      </c>
      <c r="B51" s="8">
        <v>90.0</v>
      </c>
      <c r="C51" s="8">
        <v>89.0</v>
      </c>
      <c r="D51" s="8">
        <v>90.0</v>
      </c>
      <c r="E51" s="8">
        <v>98.0</v>
      </c>
      <c r="F51" s="8">
        <v>101.0</v>
      </c>
      <c r="G51" s="8">
        <v>87.0</v>
      </c>
      <c r="H51" s="8">
        <v>91.0</v>
      </c>
      <c r="I51" s="8">
        <v>90.0</v>
      </c>
      <c r="J51" s="8">
        <v>89.0</v>
      </c>
      <c r="K51" s="8">
        <v>89.0</v>
      </c>
      <c r="L51" s="8">
        <v>88.0</v>
      </c>
      <c r="M51" s="8">
        <v>95.0</v>
      </c>
      <c r="N51" s="8">
        <v>90.0</v>
      </c>
      <c r="O51" s="8">
        <v>90.0</v>
      </c>
      <c r="P51" s="8">
        <v>92.0</v>
      </c>
      <c r="Q51" s="8">
        <v>96.0</v>
      </c>
      <c r="R51" s="8">
        <v>84.0</v>
      </c>
      <c r="S51" s="8">
        <v>82.0</v>
      </c>
      <c r="T51" s="8">
        <v>86.0</v>
      </c>
      <c r="U51" s="9">
        <v>89.0</v>
      </c>
    </row>
    <row r="52">
      <c r="A52" s="4">
        <v>45889.0</v>
      </c>
      <c r="B52" s="5">
        <v>89.0</v>
      </c>
      <c r="C52" s="5">
        <v>88.0</v>
      </c>
      <c r="D52" s="5">
        <v>79.0</v>
      </c>
      <c r="E52" s="5">
        <v>89.0</v>
      </c>
      <c r="F52" s="5">
        <v>97.0</v>
      </c>
      <c r="G52" s="5">
        <v>86.0</v>
      </c>
      <c r="H52" s="5">
        <v>93.0</v>
      </c>
      <c r="I52" s="5">
        <v>87.0</v>
      </c>
      <c r="J52" s="5">
        <v>88.0</v>
      </c>
      <c r="K52" s="5">
        <v>92.0</v>
      </c>
      <c r="L52" s="5">
        <v>93.0</v>
      </c>
      <c r="M52" s="5">
        <v>96.0</v>
      </c>
      <c r="N52" s="5">
        <v>90.0</v>
      </c>
      <c r="O52" s="5">
        <v>88.0</v>
      </c>
      <c r="P52" s="5">
        <v>93.0</v>
      </c>
      <c r="Q52" s="5">
        <v>93.0</v>
      </c>
      <c r="R52" s="5">
        <v>84.0</v>
      </c>
      <c r="S52" s="5">
        <v>84.0</v>
      </c>
      <c r="T52" s="5">
        <v>89.0</v>
      </c>
      <c r="U52" s="6">
        <v>88.0</v>
      </c>
    </row>
    <row r="53">
      <c r="A53" s="7">
        <v>45890.0</v>
      </c>
      <c r="B53" s="8">
        <v>90.0</v>
      </c>
      <c r="C53" s="8">
        <v>82.0</v>
      </c>
      <c r="D53" s="8">
        <v>84.0</v>
      </c>
      <c r="E53" s="8">
        <v>91.0</v>
      </c>
      <c r="F53" s="8">
        <v>87.0</v>
      </c>
      <c r="G53" s="8">
        <v>88.0</v>
      </c>
      <c r="H53" s="8">
        <v>93.0</v>
      </c>
      <c r="I53" s="8">
        <v>88.0</v>
      </c>
      <c r="J53" s="8">
        <v>82.0</v>
      </c>
      <c r="K53" s="8">
        <v>94.0</v>
      </c>
      <c r="L53" s="8">
        <v>91.0</v>
      </c>
      <c r="M53" s="8">
        <v>99.0</v>
      </c>
      <c r="N53" s="8">
        <v>85.0</v>
      </c>
      <c r="O53" s="8">
        <v>88.0</v>
      </c>
      <c r="P53" s="8">
        <v>93.0</v>
      </c>
      <c r="Q53" s="8">
        <v>94.0</v>
      </c>
      <c r="R53" s="8">
        <v>88.0</v>
      </c>
      <c r="S53" s="8">
        <v>84.0</v>
      </c>
      <c r="T53" s="8">
        <v>92.0</v>
      </c>
      <c r="U53" s="9">
        <v>89.0</v>
      </c>
    </row>
    <row r="54">
      <c r="A54" s="4">
        <v>45891.0</v>
      </c>
      <c r="B54" s="5">
        <v>91.0</v>
      </c>
      <c r="C54" s="5">
        <v>79.0</v>
      </c>
      <c r="D54" s="5">
        <v>87.0</v>
      </c>
      <c r="E54" s="5">
        <v>91.0</v>
      </c>
      <c r="F54" s="5">
        <v>86.0</v>
      </c>
      <c r="G54" s="5">
        <v>90.0</v>
      </c>
      <c r="H54" s="5">
        <v>91.0</v>
      </c>
      <c r="I54" s="5">
        <v>88.0</v>
      </c>
      <c r="J54" s="5">
        <v>84.0</v>
      </c>
      <c r="K54" s="5">
        <v>93.0</v>
      </c>
      <c r="L54" s="5">
        <v>88.0</v>
      </c>
      <c r="M54" s="5">
        <v>104.0</v>
      </c>
      <c r="N54" s="5">
        <v>82.0</v>
      </c>
      <c r="O54" s="5">
        <v>85.0</v>
      </c>
      <c r="P54" s="5">
        <v>94.0</v>
      </c>
      <c r="Q54" s="5">
        <v>98.0</v>
      </c>
      <c r="R54" s="5">
        <v>84.0</v>
      </c>
      <c r="S54" s="5">
        <v>88.0</v>
      </c>
      <c r="T54" s="5">
        <v>93.0</v>
      </c>
      <c r="U54" s="6">
        <v>92.0</v>
      </c>
    </row>
    <row r="55">
      <c r="A55" s="7">
        <v>45892.0</v>
      </c>
      <c r="B55" s="8">
        <v>91.0</v>
      </c>
      <c r="C55" s="8">
        <v>81.0</v>
      </c>
      <c r="D55" s="8">
        <v>87.0</v>
      </c>
      <c r="E55" s="8">
        <v>90.0</v>
      </c>
      <c r="F55" s="8">
        <v>88.0</v>
      </c>
      <c r="G55" s="8">
        <v>88.0</v>
      </c>
      <c r="H55" s="8">
        <v>95.0</v>
      </c>
      <c r="I55" s="8">
        <v>90.0</v>
      </c>
      <c r="J55" s="8">
        <v>84.0</v>
      </c>
      <c r="K55" s="8">
        <v>87.0</v>
      </c>
      <c r="L55" s="8">
        <v>87.0</v>
      </c>
      <c r="M55" s="8">
        <v>98.0</v>
      </c>
      <c r="N55" s="8">
        <v>78.0</v>
      </c>
      <c r="O55" s="8">
        <v>81.0</v>
      </c>
      <c r="P55" s="8">
        <v>93.0</v>
      </c>
      <c r="Q55" s="8">
        <v>92.0</v>
      </c>
      <c r="R55" s="8">
        <v>88.0</v>
      </c>
      <c r="S55" s="8">
        <v>90.0</v>
      </c>
      <c r="T55" s="8">
        <v>93.0</v>
      </c>
      <c r="U55" s="9">
        <v>87.0</v>
      </c>
    </row>
    <row r="56">
      <c r="A56" s="4">
        <v>45893.0</v>
      </c>
      <c r="B56" s="5">
        <v>91.0</v>
      </c>
      <c r="C56" s="5">
        <v>82.0</v>
      </c>
      <c r="D56" s="5">
        <v>88.0</v>
      </c>
      <c r="E56" s="5">
        <v>80.0</v>
      </c>
      <c r="F56" s="5">
        <v>92.0</v>
      </c>
      <c r="G56" s="5">
        <v>93.0</v>
      </c>
      <c r="H56" s="5">
        <v>93.0</v>
      </c>
      <c r="I56" s="5">
        <v>89.0</v>
      </c>
      <c r="J56" s="5">
        <v>87.0</v>
      </c>
      <c r="K56" s="5">
        <v>85.0</v>
      </c>
      <c r="L56" s="5">
        <v>83.0</v>
      </c>
      <c r="M56" s="5">
        <v>95.0</v>
      </c>
      <c r="N56" s="5">
        <v>83.0</v>
      </c>
      <c r="O56" s="5">
        <v>86.0</v>
      </c>
      <c r="P56" s="5">
        <v>90.0</v>
      </c>
      <c r="Q56" s="5">
        <v>93.0</v>
      </c>
      <c r="R56" s="5">
        <v>86.0</v>
      </c>
      <c r="S56" s="5">
        <v>84.0</v>
      </c>
      <c r="T56" s="5">
        <v>88.0</v>
      </c>
      <c r="U56" s="6">
        <v>89.0</v>
      </c>
    </row>
    <row r="57">
      <c r="A57" s="7">
        <v>45894.0</v>
      </c>
      <c r="B57" s="8">
        <v>84.0</v>
      </c>
      <c r="C57" s="8">
        <v>84.0</v>
      </c>
      <c r="D57" s="8">
        <v>90.0</v>
      </c>
      <c r="E57" s="8">
        <v>82.0</v>
      </c>
      <c r="F57" s="8">
        <v>92.0</v>
      </c>
      <c r="G57" s="8">
        <v>90.0</v>
      </c>
      <c r="H57" s="8">
        <v>91.0</v>
      </c>
      <c r="I57" s="8">
        <v>88.0</v>
      </c>
      <c r="J57" s="8">
        <v>82.0</v>
      </c>
      <c r="K57" s="8">
        <v>84.0</v>
      </c>
      <c r="L57" s="8">
        <v>85.0</v>
      </c>
      <c r="M57" s="8">
        <v>94.0</v>
      </c>
      <c r="N57" s="8">
        <v>78.0</v>
      </c>
      <c r="O57" s="8">
        <v>87.0</v>
      </c>
      <c r="P57" s="8">
        <v>89.0</v>
      </c>
      <c r="Q57" s="8">
        <v>95.0</v>
      </c>
      <c r="R57" s="8">
        <v>85.0</v>
      </c>
      <c r="S57" s="8">
        <v>82.0</v>
      </c>
      <c r="T57" s="8">
        <v>84.0</v>
      </c>
      <c r="U57" s="9">
        <v>84.0</v>
      </c>
    </row>
    <row r="58">
      <c r="A58" s="4">
        <v>45895.0</v>
      </c>
      <c r="B58" s="5">
        <v>88.0</v>
      </c>
      <c r="C58" s="5">
        <v>87.0</v>
      </c>
      <c r="D58" s="5">
        <v>91.0</v>
      </c>
      <c r="E58" s="5">
        <v>89.0</v>
      </c>
      <c r="F58" s="5">
        <v>90.0</v>
      </c>
      <c r="G58" s="5">
        <v>91.0</v>
      </c>
      <c r="H58" s="5">
        <v>88.0</v>
      </c>
      <c r="I58" s="5">
        <v>89.0</v>
      </c>
      <c r="J58" s="5">
        <v>86.0</v>
      </c>
      <c r="K58" s="5">
        <v>84.0</v>
      </c>
      <c r="L58" s="5">
        <v>88.0</v>
      </c>
      <c r="M58" s="5">
        <v>92.0</v>
      </c>
      <c r="N58" s="5">
        <v>83.0</v>
      </c>
      <c r="O58" s="5">
        <v>90.0</v>
      </c>
      <c r="P58" s="5">
        <v>90.0</v>
      </c>
      <c r="Q58" s="5">
        <v>99.0</v>
      </c>
      <c r="R58" s="5">
        <v>90.0</v>
      </c>
      <c r="S58" s="5">
        <v>82.0</v>
      </c>
      <c r="T58" s="5">
        <v>86.0</v>
      </c>
      <c r="U58" s="6">
        <v>86.0</v>
      </c>
    </row>
    <row r="59">
      <c r="A59" s="7">
        <v>45896.0</v>
      </c>
      <c r="B59" s="8">
        <v>84.0</v>
      </c>
      <c r="C59" s="8">
        <v>90.0</v>
      </c>
      <c r="D59" s="8">
        <v>89.0</v>
      </c>
      <c r="E59" s="8">
        <v>88.0</v>
      </c>
      <c r="F59" s="8">
        <v>90.0</v>
      </c>
      <c r="G59" s="8">
        <v>91.0</v>
      </c>
      <c r="H59" s="8">
        <v>84.0</v>
      </c>
      <c r="I59" s="8">
        <v>90.0</v>
      </c>
      <c r="J59" s="8">
        <v>88.0</v>
      </c>
      <c r="K59" s="8">
        <v>86.0</v>
      </c>
      <c r="L59" s="8">
        <v>88.0</v>
      </c>
      <c r="M59" s="8">
        <v>88.0</v>
      </c>
      <c r="N59" s="8">
        <v>80.0</v>
      </c>
      <c r="O59" s="8">
        <v>83.0</v>
      </c>
      <c r="P59" s="8">
        <v>89.0</v>
      </c>
      <c r="Q59" s="8">
        <v>95.0</v>
      </c>
      <c r="R59" s="8">
        <v>90.0</v>
      </c>
      <c r="S59" s="8">
        <v>86.0</v>
      </c>
      <c r="T59" s="8">
        <v>88.0</v>
      </c>
      <c r="U59" s="9">
        <v>85.0</v>
      </c>
    </row>
    <row r="60">
      <c r="A60" s="4">
        <v>45897.0</v>
      </c>
      <c r="B60" s="5">
        <v>86.0</v>
      </c>
      <c r="C60" s="5">
        <v>90.0</v>
      </c>
      <c r="D60" s="5">
        <v>90.0</v>
      </c>
      <c r="E60" s="5">
        <v>90.0</v>
      </c>
      <c r="F60" s="5">
        <v>92.0</v>
      </c>
      <c r="G60" s="5">
        <v>81.0</v>
      </c>
      <c r="H60" s="5">
        <v>82.0</v>
      </c>
      <c r="I60" s="5">
        <v>91.0</v>
      </c>
      <c r="J60" s="5">
        <v>90.0</v>
      </c>
      <c r="K60" s="5">
        <v>86.0</v>
      </c>
      <c r="L60" s="5">
        <v>90.0</v>
      </c>
      <c r="M60" s="5">
        <v>88.0</v>
      </c>
      <c r="N60" s="5">
        <v>86.0</v>
      </c>
      <c r="O60" s="5">
        <v>75.0</v>
      </c>
      <c r="P60" s="5">
        <v>87.0</v>
      </c>
      <c r="Q60" s="5">
        <v>95.0</v>
      </c>
      <c r="R60" s="5">
        <v>80.0</v>
      </c>
      <c r="S60" s="5">
        <v>90.0</v>
      </c>
      <c r="T60" s="5">
        <v>91.0</v>
      </c>
      <c r="U60" s="6">
        <v>83.0</v>
      </c>
    </row>
    <row r="61">
      <c r="A61" s="7">
        <v>45898.0</v>
      </c>
      <c r="B61" s="8">
        <v>88.0</v>
      </c>
      <c r="C61" s="8">
        <v>91.0</v>
      </c>
      <c r="D61" s="8">
        <v>93.0</v>
      </c>
      <c r="E61" s="8">
        <v>91.0</v>
      </c>
      <c r="F61" s="8">
        <v>92.0</v>
      </c>
      <c r="G61" s="8">
        <v>86.0</v>
      </c>
      <c r="H61" s="8">
        <v>82.0</v>
      </c>
      <c r="I61" s="8">
        <v>89.0</v>
      </c>
      <c r="J61" s="8">
        <v>87.0</v>
      </c>
      <c r="K61" s="8">
        <v>85.0</v>
      </c>
      <c r="L61" s="8">
        <v>90.0</v>
      </c>
      <c r="M61" s="8">
        <v>89.0</v>
      </c>
      <c r="N61" s="8">
        <v>89.0</v>
      </c>
      <c r="O61" s="8">
        <v>86.0</v>
      </c>
      <c r="P61" s="8">
        <v>84.0</v>
      </c>
      <c r="Q61" s="8">
        <v>93.0</v>
      </c>
      <c r="R61" s="8">
        <v>86.0</v>
      </c>
      <c r="S61" s="8">
        <v>92.0</v>
      </c>
      <c r="T61" s="8">
        <v>92.0</v>
      </c>
      <c r="U61" s="9">
        <v>81.0</v>
      </c>
    </row>
    <row r="62">
      <c r="A62" s="4">
        <v>45899.0</v>
      </c>
      <c r="B62" s="5">
        <v>84.0</v>
      </c>
      <c r="C62" s="5">
        <v>91.0</v>
      </c>
      <c r="D62" s="5">
        <v>93.0</v>
      </c>
      <c r="E62" s="5">
        <v>91.0</v>
      </c>
      <c r="F62" s="5">
        <v>88.0</v>
      </c>
      <c r="G62" s="5">
        <v>81.0</v>
      </c>
      <c r="H62" s="5">
        <v>78.0</v>
      </c>
      <c r="I62" s="5">
        <v>88.0</v>
      </c>
      <c r="J62" s="5">
        <v>88.0</v>
      </c>
      <c r="K62" s="5">
        <v>85.0</v>
      </c>
      <c r="L62" s="5">
        <v>88.0</v>
      </c>
      <c r="M62" s="5">
        <v>89.0</v>
      </c>
      <c r="N62" s="5">
        <v>89.0</v>
      </c>
      <c r="O62" s="5">
        <v>79.0</v>
      </c>
      <c r="P62" s="5">
        <v>85.0</v>
      </c>
      <c r="Q62" s="5">
        <v>90.0</v>
      </c>
      <c r="R62" s="5">
        <v>80.0</v>
      </c>
      <c r="S62" s="5">
        <v>87.0</v>
      </c>
      <c r="T62" s="5">
        <v>88.0</v>
      </c>
      <c r="U62" s="6">
        <v>74.0</v>
      </c>
    </row>
    <row r="63">
      <c r="A63" s="7">
        <v>45900.0</v>
      </c>
      <c r="B63" s="8">
        <v>82.0</v>
      </c>
      <c r="C63" s="8">
        <v>88.0</v>
      </c>
      <c r="D63" s="8">
        <v>91.0</v>
      </c>
      <c r="E63" s="8">
        <v>84.0</v>
      </c>
      <c r="F63" s="8">
        <v>87.0</v>
      </c>
      <c r="G63" s="8">
        <v>82.0</v>
      </c>
      <c r="H63" s="8">
        <v>77.0</v>
      </c>
      <c r="I63" s="8">
        <v>89.0</v>
      </c>
      <c r="J63" s="8">
        <v>87.0</v>
      </c>
      <c r="K63" s="8">
        <v>85.0</v>
      </c>
      <c r="L63" s="8">
        <v>80.0</v>
      </c>
      <c r="M63" s="8">
        <v>86.0</v>
      </c>
      <c r="N63" s="8">
        <v>88.0</v>
      </c>
      <c r="O63" s="8">
        <v>79.0</v>
      </c>
      <c r="P63" s="8">
        <v>89.0</v>
      </c>
      <c r="Q63" s="8">
        <v>92.0</v>
      </c>
      <c r="R63" s="8">
        <v>89.0</v>
      </c>
      <c r="S63" s="8">
        <v>90.0</v>
      </c>
      <c r="T63" s="8">
        <v>89.0</v>
      </c>
      <c r="U63" s="9">
        <v>84.0</v>
      </c>
    </row>
    <row r="64">
      <c r="A64" s="4">
        <v>45901.0</v>
      </c>
      <c r="B64" s="5">
        <v>80.0</v>
      </c>
      <c r="C64" s="5">
        <v>88.0</v>
      </c>
      <c r="D64" s="5">
        <v>87.0</v>
      </c>
      <c r="E64" s="5">
        <v>88.0</v>
      </c>
      <c r="F64" s="5">
        <v>79.0</v>
      </c>
      <c r="G64" s="5">
        <v>80.0</v>
      </c>
      <c r="H64" s="5">
        <v>84.0</v>
      </c>
      <c r="I64" s="5">
        <v>88.0</v>
      </c>
      <c r="J64" s="5">
        <v>82.0</v>
      </c>
      <c r="K64" s="5">
        <v>85.0</v>
      </c>
      <c r="L64" s="5">
        <v>85.0</v>
      </c>
      <c r="M64" s="5">
        <v>84.0</v>
      </c>
      <c r="N64" s="5">
        <v>81.0</v>
      </c>
      <c r="O64" s="5">
        <v>71.0</v>
      </c>
      <c r="P64" s="5">
        <v>90.0</v>
      </c>
      <c r="Q64" s="5">
        <v>95.0</v>
      </c>
      <c r="R64" s="5">
        <v>91.0</v>
      </c>
      <c r="S64" s="5">
        <v>90.0</v>
      </c>
      <c r="T64" s="5">
        <v>90.0</v>
      </c>
      <c r="U64" s="6">
        <v>87.0</v>
      </c>
    </row>
    <row r="65">
      <c r="A65" s="7">
        <v>45902.0</v>
      </c>
      <c r="B65" s="8">
        <v>73.0</v>
      </c>
      <c r="C65" s="8">
        <v>91.0</v>
      </c>
      <c r="D65" s="8">
        <v>84.0</v>
      </c>
      <c r="E65" s="8">
        <v>91.0</v>
      </c>
      <c r="F65" s="8">
        <v>81.0</v>
      </c>
      <c r="G65" s="8">
        <v>75.0</v>
      </c>
      <c r="H65" s="8">
        <v>84.0</v>
      </c>
      <c r="I65" s="8">
        <v>86.0</v>
      </c>
      <c r="J65" s="8">
        <v>80.0</v>
      </c>
      <c r="K65" s="8">
        <v>88.0</v>
      </c>
      <c r="L65" s="8">
        <v>86.0</v>
      </c>
      <c r="M65" s="8">
        <v>83.0</v>
      </c>
      <c r="N65" s="8">
        <v>85.0</v>
      </c>
      <c r="O65" s="8">
        <v>78.0</v>
      </c>
      <c r="P65" s="8">
        <v>91.0</v>
      </c>
      <c r="Q65" s="8">
        <v>96.0</v>
      </c>
      <c r="R65" s="8">
        <v>89.0</v>
      </c>
      <c r="S65" s="8">
        <v>84.0</v>
      </c>
      <c r="T65" s="8">
        <v>90.0</v>
      </c>
      <c r="U65" s="9">
        <v>90.0</v>
      </c>
    </row>
    <row r="66">
      <c r="A66" s="4">
        <v>45903.0</v>
      </c>
      <c r="B66" s="5">
        <v>87.0</v>
      </c>
      <c r="C66" s="5">
        <v>93.0</v>
      </c>
      <c r="D66" s="5">
        <v>77.0</v>
      </c>
      <c r="E66" s="5">
        <v>84.0</v>
      </c>
      <c r="F66" s="5">
        <v>82.0</v>
      </c>
      <c r="G66" s="5">
        <v>73.0</v>
      </c>
      <c r="H66" s="5">
        <v>89.0</v>
      </c>
      <c r="I66" s="5">
        <v>87.0</v>
      </c>
      <c r="J66" s="5">
        <v>81.0</v>
      </c>
      <c r="K66" s="5">
        <v>87.0</v>
      </c>
      <c r="L66" s="5">
        <v>85.0</v>
      </c>
      <c r="M66" s="5">
        <v>88.0</v>
      </c>
      <c r="N66" s="5">
        <v>83.0</v>
      </c>
      <c r="O66" s="5">
        <v>79.0</v>
      </c>
      <c r="P66" s="5">
        <v>92.0</v>
      </c>
      <c r="Q66" s="5">
        <v>95.0</v>
      </c>
      <c r="R66" s="5">
        <v>85.0</v>
      </c>
      <c r="S66" s="5">
        <v>90.0</v>
      </c>
      <c r="T66" s="5">
        <v>92.0</v>
      </c>
      <c r="U66" s="6">
        <v>89.0</v>
      </c>
    </row>
    <row r="67">
      <c r="A67" s="7">
        <v>45904.0</v>
      </c>
      <c r="B67" s="8">
        <v>84.0</v>
      </c>
      <c r="C67" s="8">
        <v>81.0</v>
      </c>
      <c r="D67" s="8">
        <v>90.0</v>
      </c>
      <c r="E67" s="8">
        <v>93.0</v>
      </c>
      <c r="F67" s="8">
        <v>87.0</v>
      </c>
      <c r="G67" s="8">
        <v>81.0</v>
      </c>
      <c r="H67" s="8">
        <v>95.0</v>
      </c>
      <c r="I67" s="8">
        <v>87.0</v>
      </c>
      <c r="J67" s="8">
        <v>82.0</v>
      </c>
      <c r="K67" s="8">
        <v>85.0</v>
      </c>
      <c r="L67" s="8">
        <v>88.0</v>
      </c>
      <c r="M67" s="8">
        <v>91.0</v>
      </c>
      <c r="N67" s="8">
        <v>85.0</v>
      </c>
      <c r="O67" s="8">
        <v>83.0</v>
      </c>
      <c r="P67" s="8">
        <v>84.0</v>
      </c>
      <c r="Q67" s="8">
        <v>80.0</v>
      </c>
      <c r="R67" s="8">
        <v>77.0</v>
      </c>
      <c r="S67" s="8">
        <v>89.0</v>
      </c>
      <c r="T67" s="8">
        <v>82.0</v>
      </c>
      <c r="U67" s="9">
        <v>92.0</v>
      </c>
    </row>
    <row r="68">
      <c r="A68" s="4">
        <v>45905.0</v>
      </c>
      <c r="B68" s="5">
        <v>87.0</v>
      </c>
      <c r="C68" s="5">
        <v>81.0</v>
      </c>
      <c r="D68" s="5">
        <v>91.0</v>
      </c>
      <c r="E68" s="5">
        <v>96.0</v>
      </c>
      <c r="F68" s="5">
        <v>81.0</v>
      </c>
      <c r="G68" s="5">
        <v>90.0</v>
      </c>
      <c r="H68" s="5">
        <v>93.0</v>
      </c>
      <c r="I68" s="5">
        <v>84.0</v>
      </c>
      <c r="J68" s="5">
        <v>84.0</v>
      </c>
      <c r="K68" s="5">
        <v>81.0</v>
      </c>
      <c r="L68" s="5">
        <v>83.0</v>
      </c>
      <c r="M68" s="5">
        <v>89.0</v>
      </c>
      <c r="N68" s="5">
        <v>88.0</v>
      </c>
      <c r="O68" s="5">
        <v>83.0</v>
      </c>
      <c r="P68" s="5">
        <v>85.0</v>
      </c>
      <c r="Q68" s="5">
        <v>78.0</v>
      </c>
      <c r="R68" s="5">
        <v>85.0</v>
      </c>
      <c r="S68" s="5">
        <v>89.0</v>
      </c>
      <c r="T68" s="5">
        <v>89.0</v>
      </c>
      <c r="U68" s="6">
        <v>87.0</v>
      </c>
    </row>
    <row r="69">
      <c r="A69" s="7">
        <v>45906.0</v>
      </c>
      <c r="B69" s="8">
        <v>89.0</v>
      </c>
      <c r="C69" s="8">
        <v>82.0</v>
      </c>
      <c r="D69" s="8">
        <v>89.0</v>
      </c>
      <c r="E69" s="8">
        <v>96.0</v>
      </c>
      <c r="F69" s="8">
        <v>66.0</v>
      </c>
      <c r="G69" s="8">
        <v>88.0</v>
      </c>
      <c r="H69" s="8">
        <v>91.0</v>
      </c>
      <c r="I69" s="8">
        <v>73.0</v>
      </c>
      <c r="J69" s="8">
        <v>81.0</v>
      </c>
      <c r="K69" s="8">
        <v>81.0</v>
      </c>
      <c r="L69" s="8">
        <v>85.0</v>
      </c>
      <c r="M69" s="8">
        <v>85.0</v>
      </c>
      <c r="N69" s="8">
        <v>87.0</v>
      </c>
      <c r="O69" s="8">
        <v>85.0</v>
      </c>
      <c r="P69" s="8">
        <v>90.0</v>
      </c>
      <c r="Q69" s="8">
        <v>75.0</v>
      </c>
      <c r="R69" s="8">
        <v>85.0</v>
      </c>
      <c r="S69" s="8">
        <v>88.0</v>
      </c>
      <c r="T69" s="8">
        <v>91.0</v>
      </c>
      <c r="U69" s="9">
        <v>85.0</v>
      </c>
    </row>
    <row r="70">
      <c r="A70" s="4">
        <v>45907.0</v>
      </c>
      <c r="B70" s="5">
        <v>89.0</v>
      </c>
      <c r="C70" s="5">
        <v>86.0</v>
      </c>
      <c r="D70" s="5">
        <v>90.0</v>
      </c>
      <c r="E70" s="5">
        <v>91.0</v>
      </c>
      <c r="F70" s="5">
        <v>66.0</v>
      </c>
      <c r="G70" s="5">
        <v>87.0</v>
      </c>
      <c r="H70" s="5">
        <v>88.0</v>
      </c>
      <c r="I70" s="5">
        <v>75.0</v>
      </c>
      <c r="J70" s="5">
        <v>86.0</v>
      </c>
      <c r="K70" s="5">
        <v>83.0</v>
      </c>
      <c r="L70" s="5">
        <v>80.0</v>
      </c>
      <c r="M70" s="5">
        <v>86.0</v>
      </c>
      <c r="N70" s="5">
        <v>89.0</v>
      </c>
      <c r="O70" s="5">
        <v>84.0</v>
      </c>
      <c r="P70" s="5">
        <v>91.0</v>
      </c>
      <c r="Q70" s="5">
        <v>69.0</v>
      </c>
      <c r="R70" s="5">
        <v>92.0</v>
      </c>
      <c r="S70" s="5">
        <v>88.0</v>
      </c>
      <c r="T70" s="5">
        <v>90.0</v>
      </c>
      <c r="U70" s="6">
        <v>85.0</v>
      </c>
    </row>
    <row r="71">
      <c r="A71" s="7">
        <v>45908.0</v>
      </c>
      <c r="B71" s="8">
        <v>89.0</v>
      </c>
      <c r="C71" s="8">
        <v>88.0</v>
      </c>
      <c r="D71" s="8">
        <v>89.0</v>
      </c>
      <c r="E71" s="8">
        <v>91.0</v>
      </c>
      <c r="F71" s="8">
        <v>75.0</v>
      </c>
      <c r="G71" s="8">
        <v>86.0</v>
      </c>
      <c r="H71" s="8">
        <v>87.0</v>
      </c>
      <c r="I71" s="8">
        <v>81.0</v>
      </c>
      <c r="J71" s="8">
        <v>73.0</v>
      </c>
      <c r="K71" s="8">
        <v>85.0</v>
      </c>
      <c r="L71" s="8">
        <v>83.0</v>
      </c>
      <c r="M71" s="8">
        <v>88.0</v>
      </c>
      <c r="N71" s="8">
        <v>90.0</v>
      </c>
      <c r="O71" s="8">
        <v>87.0</v>
      </c>
      <c r="P71" s="8">
        <v>93.0</v>
      </c>
      <c r="Q71" s="8">
        <v>73.0</v>
      </c>
      <c r="R71" s="8">
        <v>88.0</v>
      </c>
      <c r="S71" s="8">
        <v>91.0</v>
      </c>
      <c r="T71" s="8">
        <v>84.0</v>
      </c>
      <c r="U71" s="9">
        <v>84.0</v>
      </c>
    </row>
    <row r="72">
      <c r="A72" s="4">
        <v>45909.0</v>
      </c>
      <c r="B72" s="5">
        <v>91.0</v>
      </c>
      <c r="C72" s="5">
        <v>84.0</v>
      </c>
      <c r="D72" s="5">
        <v>79.0</v>
      </c>
      <c r="E72" s="5">
        <v>77.0</v>
      </c>
      <c r="F72" s="5">
        <v>80.0</v>
      </c>
      <c r="G72" s="5">
        <v>86.0</v>
      </c>
      <c r="H72" s="5">
        <v>91.0</v>
      </c>
      <c r="I72" s="5">
        <v>82.0</v>
      </c>
      <c r="J72" s="5">
        <v>84.0</v>
      </c>
      <c r="K72" s="5">
        <v>86.0</v>
      </c>
      <c r="L72" s="5">
        <v>83.0</v>
      </c>
      <c r="M72" s="5">
        <v>89.0</v>
      </c>
      <c r="N72" s="5">
        <v>88.0</v>
      </c>
      <c r="O72" s="5">
        <v>84.0</v>
      </c>
      <c r="P72" s="5">
        <v>92.0</v>
      </c>
      <c r="Q72" s="5">
        <v>81.0</v>
      </c>
      <c r="R72" s="5">
        <v>83.0</v>
      </c>
      <c r="S72" s="5">
        <v>90.0</v>
      </c>
      <c r="T72" s="5">
        <v>84.0</v>
      </c>
      <c r="U72" s="6">
        <v>87.0</v>
      </c>
    </row>
    <row r="73">
      <c r="A73" s="7">
        <v>45910.0</v>
      </c>
      <c r="B73" s="8">
        <v>84.0</v>
      </c>
      <c r="C73" s="8">
        <v>80.0</v>
      </c>
      <c r="D73" s="8">
        <v>78.0</v>
      </c>
      <c r="E73" s="8">
        <v>87.0</v>
      </c>
      <c r="F73" s="8">
        <v>82.0</v>
      </c>
      <c r="G73" s="8">
        <v>89.0</v>
      </c>
      <c r="H73" s="8">
        <v>95.0</v>
      </c>
      <c r="I73" s="8">
        <v>79.0</v>
      </c>
      <c r="J73" s="8">
        <v>84.0</v>
      </c>
      <c r="K73" s="8">
        <v>84.0</v>
      </c>
      <c r="L73" s="8">
        <v>85.0</v>
      </c>
      <c r="M73" s="8">
        <v>89.0</v>
      </c>
      <c r="N73" s="8">
        <v>87.0</v>
      </c>
      <c r="O73" s="8">
        <v>80.0</v>
      </c>
      <c r="P73" s="8">
        <v>94.0</v>
      </c>
      <c r="Q73" s="8">
        <v>84.0</v>
      </c>
      <c r="R73" s="8">
        <v>84.0</v>
      </c>
      <c r="S73" s="8">
        <v>89.0</v>
      </c>
      <c r="T73" s="8">
        <v>86.0</v>
      </c>
      <c r="U73" s="9">
        <v>85.0</v>
      </c>
    </row>
    <row r="74">
      <c r="A74" s="4">
        <v>45911.0</v>
      </c>
      <c r="B74" s="5">
        <v>86.0</v>
      </c>
      <c r="C74" s="5">
        <v>82.0</v>
      </c>
      <c r="D74" s="5">
        <v>81.0</v>
      </c>
      <c r="E74" s="5">
        <v>87.0</v>
      </c>
      <c r="F74" s="5">
        <v>84.0</v>
      </c>
      <c r="G74" s="5">
        <v>87.0</v>
      </c>
      <c r="H74" s="5">
        <v>95.0</v>
      </c>
      <c r="I74" s="5">
        <v>80.0</v>
      </c>
      <c r="J74" s="5">
        <v>84.0</v>
      </c>
      <c r="K74" s="5">
        <v>84.0</v>
      </c>
      <c r="L74" s="5">
        <v>84.0</v>
      </c>
      <c r="M74" s="5">
        <v>89.0</v>
      </c>
      <c r="N74" s="5">
        <v>83.0</v>
      </c>
      <c r="O74" s="5">
        <v>75.0</v>
      </c>
      <c r="P74" s="5">
        <v>96.0</v>
      </c>
      <c r="Q74" s="5">
        <v>86.0</v>
      </c>
      <c r="R74" s="5">
        <v>83.0</v>
      </c>
      <c r="S74" s="5">
        <v>89.0</v>
      </c>
      <c r="T74" s="5">
        <v>90.0</v>
      </c>
      <c r="U74" s="6">
        <v>86.0</v>
      </c>
    </row>
    <row r="75">
      <c r="A75" s="7">
        <v>45912.0</v>
      </c>
      <c r="B75" s="8">
        <v>88.0</v>
      </c>
      <c r="C75" s="8">
        <v>86.0</v>
      </c>
      <c r="D75" s="8">
        <v>84.0</v>
      </c>
      <c r="E75" s="8">
        <v>87.0</v>
      </c>
      <c r="F75" s="8">
        <v>86.0</v>
      </c>
      <c r="G75" s="8">
        <v>84.0</v>
      </c>
      <c r="H75" s="8">
        <v>90.0</v>
      </c>
      <c r="I75" s="8">
        <v>81.0</v>
      </c>
      <c r="J75" s="8">
        <v>81.0</v>
      </c>
      <c r="K75" s="8">
        <v>86.0</v>
      </c>
      <c r="L75" s="8">
        <v>82.0</v>
      </c>
      <c r="M75" s="8">
        <v>86.0</v>
      </c>
      <c r="N75" s="8">
        <v>87.0</v>
      </c>
      <c r="O75" s="8">
        <v>81.0</v>
      </c>
      <c r="P75" s="8">
        <v>89.0</v>
      </c>
      <c r="Q75" s="8">
        <v>87.0</v>
      </c>
      <c r="R75" s="8">
        <v>81.0</v>
      </c>
      <c r="S75" s="8">
        <v>90.0</v>
      </c>
      <c r="T75" s="8">
        <v>92.0</v>
      </c>
      <c r="U75" s="9">
        <v>78.0</v>
      </c>
    </row>
    <row r="76">
      <c r="A76" s="4">
        <v>45913.0</v>
      </c>
      <c r="B76" s="5">
        <v>78.0</v>
      </c>
      <c r="C76" s="5">
        <v>87.0</v>
      </c>
      <c r="D76" s="5">
        <v>89.0</v>
      </c>
      <c r="E76" s="5">
        <v>86.0</v>
      </c>
      <c r="F76" s="5">
        <v>87.0</v>
      </c>
      <c r="G76" s="5">
        <v>84.0</v>
      </c>
      <c r="H76" s="5">
        <v>75.0</v>
      </c>
      <c r="I76" s="5">
        <v>84.0</v>
      </c>
      <c r="J76" s="5">
        <v>79.0</v>
      </c>
      <c r="K76" s="5">
        <v>88.0</v>
      </c>
      <c r="L76" s="5">
        <v>70.0</v>
      </c>
      <c r="M76" s="5">
        <v>85.0</v>
      </c>
      <c r="N76" s="5">
        <v>86.0</v>
      </c>
      <c r="O76" s="5">
        <v>80.0</v>
      </c>
      <c r="P76" s="5">
        <v>86.0</v>
      </c>
      <c r="Q76" s="5">
        <v>89.0</v>
      </c>
      <c r="R76" s="5">
        <v>81.0</v>
      </c>
      <c r="S76" s="5">
        <v>87.0</v>
      </c>
      <c r="T76" s="5">
        <v>86.0</v>
      </c>
      <c r="U76" s="6">
        <v>75.0</v>
      </c>
    </row>
    <row r="77">
      <c r="A77" s="7">
        <v>45914.0</v>
      </c>
      <c r="B77" s="8">
        <v>79.0</v>
      </c>
      <c r="C77" s="8">
        <v>87.0</v>
      </c>
      <c r="D77" s="8">
        <v>87.0</v>
      </c>
      <c r="E77" s="8">
        <v>87.0</v>
      </c>
      <c r="F77" s="8">
        <v>86.0</v>
      </c>
      <c r="G77" s="8">
        <v>86.0</v>
      </c>
      <c r="H77" s="8">
        <v>78.0</v>
      </c>
      <c r="I77" s="8">
        <v>82.0</v>
      </c>
      <c r="J77" s="8">
        <v>79.0</v>
      </c>
      <c r="K77" s="8">
        <v>88.0</v>
      </c>
      <c r="L77" s="8">
        <v>80.0</v>
      </c>
      <c r="M77" s="8">
        <v>81.0</v>
      </c>
      <c r="N77" s="8">
        <v>88.0</v>
      </c>
      <c r="O77" s="8">
        <v>82.0</v>
      </c>
      <c r="P77" s="8">
        <v>91.0</v>
      </c>
      <c r="Q77" s="8">
        <v>92.0</v>
      </c>
      <c r="R77" s="8">
        <v>83.0</v>
      </c>
      <c r="S77" s="8">
        <v>82.0</v>
      </c>
      <c r="T77" s="8">
        <v>78.0</v>
      </c>
      <c r="U77" s="9">
        <v>77.0</v>
      </c>
    </row>
    <row r="78">
      <c r="A78" s="4">
        <v>45915.0</v>
      </c>
      <c r="B78" s="5">
        <v>86.0</v>
      </c>
      <c r="C78" s="5">
        <v>88.0</v>
      </c>
      <c r="D78" s="5">
        <v>87.0</v>
      </c>
      <c r="E78" s="5">
        <v>89.0</v>
      </c>
      <c r="F78" s="5">
        <v>80.0</v>
      </c>
      <c r="G78" s="5">
        <v>77.0</v>
      </c>
      <c r="H78" s="5">
        <v>91.0</v>
      </c>
      <c r="I78" s="5">
        <v>82.0</v>
      </c>
      <c r="J78" s="5">
        <v>73.0</v>
      </c>
      <c r="K78" s="5">
        <v>91.0</v>
      </c>
      <c r="L78" s="5">
        <v>82.0</v>
      </c>
      <c r="M78" s="5">
        <v>82.0</v>
      </c>
      <c r="N78" s="5">
        <v>79.0</v>
      </c>
      <c r="O78" s="5">
        <v>79.0</v>
      </c>
      <c r="P78" s="5">
        <v>91.0</v>
      </c>
      <c r="Q78" s="5">
        <v>86.0</v>
      </c>
      <c r="R78" s="5">
        <v>87.0</v>
      </c>
      <c r="S78" s="5">
        <v>84.0</v>
      </c>
      <c r="T78" s="5">
        <v>80.0</v>
      </c>
      <c r="U78" s="6">
        <v>80.0</v>
      </c>
    </row>
    <row r="79">
      <c r="A79" s="7">
        <v>45916.0</v>
      </c>
      <c r="B79" s="8">
        <v>82.0</v>
      </c>
      <c r="C79" s="8">
        <v>88.0</v>
      </c>
      <c r="D79" s="8">
        <v>88.0</v>
      </c>
      <c r="E79" s="8">
        <v>81.0</v>
      </c>
      <c r="F79" s="8">
        <v>75.0</v>
      </c>
      <c r="G79" s="8">
        <v>77.0</v>
      </c>
      <c r="H79" s="8">
        <v>88.0</v>
      </c>
      <c r="I79" s="8">
        <v>81.0</v>
      </c>
      <c r="J79" s="8">
        <v>75.0</v>
      </c>
      <c r="K79" s="8">
        <v>88.0</v>
      </c>
      <c r="L79" s="8">
        <v>83.0</v>
      </c>
      <c r="M79" s="8">
        <v>76.0</v>
      </c>
      <c r="N79" s="8">
        <v>80.0</v>
      </c>
      <c r="O79" s="8">
        <v>82.0</v>
      </c>
      <c r="P79" s="8">
        <v>89.0</v>
      </c>
      <c r="Q79" s="8">
        <v>72.0</v>
      </c>
      <c r="R79" s="8">
        <v>86.0</v>
      </c>
      <c r="S79" s="8">
        <v>89.0</v>
      </c>
      <c r="T79" s="8">
        <v>86.0</v>
      </c>
      <c r="U79" s="9">
        <v>79.0</v>
      </c>
    </row>
    <row r="80">
      <c r="A80" s="4">
        <v>45917.0</v>
      </c>
      <c r="B80" s="5">
        <v>82.0</v>
      </c>
      <c r="C80" s="5">
        <v>90.0</v>
      </c>
      <c r="D80" s="5">
        <v>87.0</v>
      </c>
      <c r="E80" s="5">
        <v>81.0</v>
      </c>
      <c r="F80" s="5">
        <v>73.0</v>
      </c>
      <c r="G80" s="5">
        <v>81.0</v>
      </c>
      <c r="H80" s="5">
        <v>86.0</v>
      </c>
      <c r="I80" s="5">
        <v>81.0</v>
      </c>
      <c r="J80" s="5">
        <v>80.0</v>
      </c>
      <c r="K80" s="5">
        <v>86.0</v>
      </c>
      <c r="L80" s="5">
        <v>85.0</v>
      </c>
      <c r="M80" s="5">
        <v>78.0</v>
      </c>
      <c r="N80" s="5">
        <v>69.0</v>
      </c>
      <c r="O80" s="5">
        <v>73.0</v>
      </c>
      <c r="P80" s="5">
        <v>95.0</v>
      </c>
      <c r="Q80" s="5">
        <v>79.0</v>
      </c>
      <c r="R80" s="5">
        <v>83.0</v>
      </c>
      <c r="S80" s="5">
        <v>79.0</v>
      </c>
      <c r="T80" s="5">
        <v>86.0</v>
      </c>
      <c r="U80" s="6">
        <v>83.0</v>
      </c>
    </row>
    <row r="81">
      <c r="A81" s="7">
        <v>45918.0</v>
      </c>
      <c r="B81" s="8">
        <v>78.0</v>
      </c>
      <c r="C81" s="8">
        <v>88.0</v>
      </c>
      <c r="D81" s="8">
        <v>82.0</v>
      </c>
      <c r="E81" s="8">
        <v>82.0</v>
      </c>
      <c r="F81" s="8">
        <v>73.0</v>
      </c>
      <c r="G81" s="8">
        <v>81.0</v>
      </c>
      <c r="H81" s="8">
        <v>81.0</v>
      </c>
      <c r="I81" s="8">
        <v>81.0</v>
      </c>
      <c r="J81" s="8">
        <v>79.0</v>
      </c>
      <c r="K81" s="8">
        <v>88.0</v>
      </c>
      <c r="L81" s="8">
        <v>85.0</v>
      </c>
      <c r="M81" s="8">
        <v>79.0</v>
      </c>
      <c r="N81" s="8">
        <v>82.0</v>
      </c>
      <c r="O81" s="8">
        <v>80.0</v>
      </c>
      <c r="P81" s="8">
        <v>93.0</v>
      </c>
      <c r="Q81" s="8">
        <v>77.0</v>
      </c>
      <c r="R81" s="8">
        <v>79.0</v>
      </c>
      <c r="S81" s="8">
        <v>78.0</v>
      </c>
      <c r="T81" s="8">
        <v>85.0</v>
      </c>
      <c r="U81" s="9">
        <v>83.0</v>
      </c>
    </row>
    <row r="82">
      <c r="A82" s="4">
        <v>45919.0</v>
      </c>
      <c r="B82" s="5">
        <v>79.0</v>
      </c>
      <c r="C82" s="5">
        <v>91.0</v>
      </c>
      <c r="D82" s="5">
        <v>80.0</v>
      </c>
      <c r="E82" s="5">
        <v>79.0</v>
      </c>
      <c r="F82" s="5">
        <v>84.0</v>
      </c>
      <c r="G82" s="5">
        <v>82.0</v>
      </c>
      <c r="H82" s="5">
        <v>80.0</v>
      </c>
      <c r="I82" s="5">
        <v>84.0</v>
      </c>
      <c r="J82" s="5">
        <v>78.0</v>
      </c>
      <c r="K82" s="5">
        <v>90.0</v>
      </c>
      <c r="L82" s="5">
        <v>79.0</v>
      </c>
      <c r="M82" s="5">
        <v>82.0</v>
      </c>
      <c r="N82" s="5">
        <v>81.0</v>
      </c>
      <c r="O82" s="5">
        <v>74.0</v>
      </c>
      <c r="P82" s="5">
        <v>92.0</v>
      </c>
      <c r="Q82" s="5">
        <v>77.0</v>
      </c>
      <c r="R82" s="5">
        <v>81.0</v>
      </c>
      <c r="S82" s="5">
        <v>84.0</v>
      </c>
      <c r="T82" s="5">
        <v>84.0</v>
      </c>
      <c r="U82" s="6">
        <v>87.0</v>
      </c>
    </row>
    <row r="83">
      <c r="A83" s="7">
        <v>45920.0</v>
      </c>
      <c r="B83" s="8">
        <v>79.0</v>
      </c>
      <c r="C83" s="8">
        <v>95.0</v>
      </c>
      <c r="D83" s="8">
        <v>82.0</v>
      </c>
      <c r="E83" s="8">
        <v>68.0</v>
      </c>
      <c r="F83" s="8">
        <v>87.0</v>
      </c>
      <c r="G83" s="8">
        <v>84.0</v>
      </c>
      <c r="H83" s="8">
        <v>86.0</v>
      </c>
      <c r="I83" s="8">
        <v>87.0</v>
      </c>
      <c r="J83" s="8">
        <v>73.0</v>
      </c>
      <c r="K83" s="8">
        <v>90.0</v>
      </c>
      <c r="L83" s="8">
        <v>73.0</v>
      </c>
      <c r="M83" s="8">
        <v>81.0</v>
      </c>
      <c r="N83" s="8">
        <v>79.0</v>
      </c>
      <c r="O83" s="8">
        <v>81.0</v>
      </c>
      <c r="P83" s="8">
        <v>96.0</v>
      </c>
      <c r="Q83" s="8">
        <v>82.0</v>
      </c>
      <c r="R83" s="8">
        <v>79.0</v>
      </c>
      <c r="S83" s="8">
        <v>86.0</v>
      </c>
      <c r="T83" s="8">
        <v>83.0</v>
      </c>
      <c r="U83" s="9">
        <v>89.0</v>
      </c>
    </row>
    <row r="84">
      <c r="A84" s="4">
        <v>45921.0</v>
      </c>
      <c r="B84" s="5">
        <v>78.0</v>
      </c>
      <c r="C84" s="5">
        <v>89.0</v>
      </c>
      <c r="D84" s="5">
        <v>82.0</v>
      </c>
      <c r="E84" s="5">
        <v>79.0</v>
      </c>
      <c r="F84" s="5">
        <v>77.0</v>
      </c>
      <c r="G84" s="5">
        <v>86.0</v>
      </c>
      <c r="H84" s="5">
        <v>84.0</v>
      </c>
      <c r="I84" s="5">
        <v>82.0</v>
      </c>
      <c r="J84" s="5">
        <v>75.0</v>
      </c>
      <c r="K84" s="5">
        <v>90.0</v>
      </c>
      <c r="L84" s="5">
        <v>75.0</v>
      </c>
      <c r="M84" s="5">
        <v>78.0</v>
      </c>
      <c r="N84" s="5">
        <v>75.0</v>
      </c>
      <c r="O84" s="5">
        <v>79.0</v>
      </c>
      <c r="P84" s="5">
        <v>95.0</v>
      </c>
      <c r="Q84" s="5">
        <v>86.0</v>
      </c>
      <c r="R84" s="5">
        <v>85.0</v>
      </c>
      <c r="S84" s="5">
        <v>73.0</v>
      </c>
      <c r="T84" s="5">
        <v>87.0</v>
      </c>
      <c r="U84" s="6">
        <v>77.0</v>
      </c>
    </row>
    <row r="85">
      <c r="A85" s="7">
        <v>45922.0</v>
      </c>
      <c r="B85" s="8">
        <v>81.0</v>
      </c>
      <c r="C85" s="8">
        <v>70.0</v>
      </c>
      <c r="D85" s="8">
        <v>88.0</v>
      </c>
      <c r="E85" s="8">
        <v>72.0</v>
      </c>
      <c r="F85" s="8">
        <v>73.0</v>
      </c>
      <c r="G85" s="8">
        <v>87.0</v>
      </c>
      <c r="H85" s="8">
        <v>77.0</v>
      </c>
      <c r="I85" s="8">
        <v>75.0</v>
      </c>
      <c r="J85" s="8">
        <v>80.0</v>
      </c>
      <c r="K85" s="8">
        <v>86.0</v>
      </c>
      <c r="L85" s="8">
        <v>82.0</v>
      </c>
      <c r="M85" s="8">
        <v>86.0</v>
      </c>
      <c r="N85" s="8">
        <v>84.0</v>
      </c>
      <c r="O85" s="8">
        <v>84.0</v>
      </c>
      <c r="P85" s="8">
        <v>92.0</v>
      </c>
      <c r="Q85" s="8">
        <v>80.0</v>
      </c>
      <c r="R85" s="8">
        <v>87.0</v>
      </c>
      <c r="S85" s="8">
        <v>82.0</v>
      </c>
      <c r="T85" s="8">
        <v>82.0</v>
      </c>
      <c r="U85" s="9">
        <v>76.0</v>
      </c>
    </row>
    <row r="86">
      <c r="A86" s="4">
        <v>45923.0</v>
      </c>
      <c r="B86" s="5">
        <v>84.0</v>
      </c>
      <c r="C86" s="5">
        <v>80.0</v>
      </c>
      <c r="D86" s="5">
        <v>84.0</v>
      </c>
      <c r="E86" s="5">
        <v>75.0</v>
      </c>
      <c r="F86" s="5">
        <v>81.0</v>
      </c>
      <c r="G86" s="5">
        <v>88.0</v>
      </c>
      <c r="H86" s="5">
        <v>82.0</v>
      </c>
      <c r="I86" s="5">
        <v>81.0</v>
      </c>
      <c r="J86" s="5">
        <v>84.0</v>
      </c>
      <c r="K86" s="5">
        <v>87.0</v>
      </c>
      <c r="L86" s="5">
        <v>86.0</v>
      </c>
      <c r="M86" s="5">
        <v>83.0</v>
      </c>
      <c r="N86" s="5">
        <v>82.0</v>
      </c>
      <c r="O86" s="5">
        <v>83.0</v>
      </c>
      <c r="P86" s="5">
        <v>91.0</v>
      </c>
      <c r="Q86" s="5">
        <v>83.0</v>
      </c>
      <c r="R86" s="5">
        <v>81.0</v>
      </c>
      <c r="S86" s="5">
        <v>82.0</v>
      </c>
      <c r="T86" s="5">
        <v>77.0</v>
      </c>
      <c r="U86" s="6">
        <v>81.0</v>
      </c>
    </row>
    <row r="87">
      <c r="A87" s="7">
        <v>45924.0</v>
      </c>
      <c r="B87" s="8">
        <v>84.0</v>
      </c>
      <c r="C87" s="8">
        <v>82.0</v>
      </c>
      <c r="D87" s="8">
        <v>81.0</v>
      </c>
      <c r="E87" s="8">
        <v>78.0</v>
      </c>
      <c r="F87" s="8">
        <v>84.0</v>
      </c>
      <c r="G87" s="8">
        <v>69.0</v>
      </c>
      <c r="H87" s="8">
        <v>73.0</v>
      </c>
      <c r="I87" s="8">
        <v>80.0</v>
      </c>
      <c r="J87" s="8">
        <v>82.0</v>
      </c>
      <c r="K87" s="8">
        <v>88.0</v>
      </c>
      <c r="L87" s="8">
        <v>84.0</v>
      </c>
      <c r="M87" s="8">
        <v>89.0</v>
      </c>
      <c r="N87" s="8">
        <v>78.0</v>
      </c>
      <c r="O87" s="8">
        <v>85.0</v>
      </c>
      <c r="P87" s="8">
        <v>88.0</v>
      </c>
      <c r="Q87" s="8">
        <v>82.0</v>
      </c>
      <c r="R87" s="8">
        <v>78.0</v>
      </c>
      <c r="S87" s="8">
        <v>71.0</v>
      </c>
      <c r="T87" s="8">
        <v>78.0</v>
      </c>
      <c r="U87" s="9">
        <v>74.0</v>
      </c>
    </row>
    <row r="88">
      <c r="A88" s="4">
        <v>45925.0</v>
      </c>
      <c r="B88" s="5">
        <v>87.0</v>
      </c>
      <c r="C88" s="5">
        <v>66.0</v>
      </c>
      <c r="D88" s="5">
        <v>82.0</v>
      </c>
      <c r="E88" s="5">
        <v>81.0</v>
      </c>
      <c r="F88" s="5">
        <v>82.0</v>
      </c>
      <c r="G88" s="5">
        <v>66.0</v>
      </c>
      <c r="H88" s="5">
        <v>69.0</v>
      </c>
      <c r="I88" s="5">
        <v>82.0</v>
      </c>
      <c r="J88" s="5">
        <v>81.0</v>
      </c>
      <c r="K88" s="5">
        <v>85.0</v>
      </c>
      <c r="L88" s="5">
        <v>75.0</v>
      </c>
      <c r="M88" s="5">
        <v>87.0</v>
      </c>
      <c r="N88" s="5">
        <v>82.0</v>
      </c>
      <c r="O88" s="5">
        <v>87.0</v>
      </c>
      <c r="P88" s="5">
        <v>93.0</v>
      </c>
      <c r="Q88" s="5">
        <v>88.0</v>
      </c>
      <c r="R88" s="5">
        <v>82.0</v>
      </c>
      <c r="S88" s="5">
        <v>67.0</v>
      </c>
      <c r="T88" s="5">
        <v>77.0</v>
      </c>
      <c r="U88" s="6">
        <v>67.0</v>
      </c>
    </row>
    <row r="89">
      <c r="A89" s="7">
        <v>45926.0</v>
      </c>
      <c r="B89" s="8">
        <v>84.0</v>
      </c>
      <c r="C89" s="8">
        <v>70.0</v>
      </c>
      <c r="D89" s="8">
        <v>84.0</v>
      </c>
      <c r="E89" s="8">
        <v>82.0</v>
      </c>
      <c r="F89" s="8">
        <v>68.0</v>
      </c>
      <c r="G89" s="8">
        <v>72.0</v>
      </c>
      <c r="H89" s="8">
        <v>75.0</v>
      </c>
      <c r="I89" s="8">
        <v>82.0</v>
      </c>
      <c r="J89" s="8">
        <v>79.0</v>
      </c>
      <c r="K89" s="8">
        <v>77.0</v>
      </c>
      <c r="L89" s="8">
        <v>78.0</v>
      </c>
      <c r="M89" s="8">
        <v>84.0</v>
      </c>
      <c r="N89" s="8">
        <v>80.0</v>
      </c>
      <c r="O89" s="8">
        <v>85.0</v>
      </c>
      <c r="P89" s="8">
        <v>76.0</v>
      </c>
      <c r="Q89" s="8">
        <v>86.0</v>
      </c>
      <c r="R89" s="8">
        <v>86.0</v>
      </c>
      <c r="S89" s="8">
        <v>78.0</v>
      </c>
      <c r="T89" s="8">
        <v>74.0</v>
      </c>
      <c r="U89" s="9">
        <v>71.0</v>
      </c>
    </row>
    <row r="90">
      <c r="A90" s="4">
        <v>45927.0</v>
      </c>
      <c r="B90" s="5">
        <v>79.0</v>
      </c>
      <c r="C90" s="5">
        <v>64.0</v>
      </c>
      <c r="D90" s="5">
        <v>87.0</v>
      </c>
      <c r="E90" s="5">
        <v>78.0</v>
      </c>
      <c r="F90" s="5">
        <v>71.0</v>
      </c>
      <c r="G90" s="5">
        <v>75.0</v>
      </c>
      <c r="H90" s="5">
        <v>75.0</v>
      </c>
      <c r="I90" s="5">
        <v>82.0</v>
      </c>
      <c r="J90" s="5">
        <v>72.0</v>
      </c>
      <c r="K90" s="5">
        <v>86.0</v>
      </c>
      <c r="L90" s="5">
        <v>79.0</v>
      </c>
      <c r="M90" s="5">
        <v>85.0</v>
      </c>
      <c r="N90" s="5">
        <v>77.0</v>
      </c>
      <c r="O90" s="5">
        <v>80.0</v>
      </c>
      <c r="P90" s="5">
        <v>81.0</v>
      </c>
      <c r="Q90" s="5">
        <v>84.0</v>
      </c>
      <c r="R90" s="5">
        <v>88.0</v>
      </c>
      <c r="S90" s="5">
        <v>79.0</v>
      </c>
      <c r="T90" s="5">
        <v>78.0</v>
      </c>
      <c r="U90" s="6">
        <v>71.0</v>
      </c>
    </row>
    <row r="91">
      <c r="A91" s="7">
        <v>45928.0</v>
      </c>
      <c r="B91" s="8">
        <v>75.0</v>
      </c>
      <c r="C91" s="8">
        <v>68.0</v>
      </c>
      <c r="D91" s="8">
        <v>80.0</v>
      </c>
      <c r="E91" s="8">
        <v>80.0</v>
      </c>
      <c r="F91" s="8">
        <v>75.0</v>
      </c>
      <c r="G91" s="8">
        <v>78.0</v>
      </c>
      <c r="H91" s="8">
        <v>79.0</v>
      </c>
      <c r="I91" s="8">
        <v>73.0</v>
      </c>
      <c r="J91" s="8">
        <v>78.0</v>
      </c>
      <c r="K91" s="8">
        <v>85.0</v>
      </c>
      <c r="L91" s="8">
        <v>81.0</v>
      </c>
      <c r="M91" s="8">
        <v>85.0</v>
      </c>
      <c r="N91" s="8">
        <v>86.0</v>
      </c>
      <c r="O91" s="8">
        <v>83.0</v>
      </c>
      <c r="P91" s="8">
        <v>76.0</v>
      </c>
      <c r="Q91" s="8">
        <v>79.0</v>
      </c>
      <c r="R91" s="8">
        <v>86.0</v>
      </c>
      <c r="S91" s="8">
        <v>77.0</v>
      </c>
      <c r="T91" s="8">
        <v>74.0</v>
      </c>
      <c r="U91" s="9">
        <v>75.0</v>
      </c>
    </row>
    <row r="92">
      <c r="A92" s="4">
        <v>45929.0</v>
      </c>
      <c r="B92" s="5">
        <v>72.0</v>
      </c>
      <c r="C92" s="5">
        <v>77.0</v>
      </c>
      <c r="D92" s="5">
        <v>75.0</v>
      </c>
      <c r="E92" s="5">
        <v>77.0</v>
      </c>
      <c r="F92" s="5">
        <v>73.0</v>
      </c>
      <c r="G92" s="5">
        <v>71.0</v>
      </c>
      <c r="H92" s="5">
        <v>73.0</v>
      </c>
      <c r="I92" s="5">
        <v>66.0</v>
      </c>
      <c r="J92" s="5">
        <v>78.0</v>
      </c>
      <c r="K92" s="5">
        <v>85.0</v>
      </c>
      <c r="L92" s="5">
        <v>70.0</v>
      </c>
      <c r="M92" s="5">
        <v>81.0</v>
      </c>
      <c r="N92" s="5">
        <v>86.0</v>
      </c>
      <c r="O92" s="5">
        <v>72.0</v>
      </c>
      <c r="P92" s="5">
        <v>79.0</v>
      </c>
      <c r="Q92" s="5">
        <v>84.0</v>
      </c>
      <c r="R92" s="5">
        <v>84.0</v>
      </c>
      <c r="S92" s="5">
        <v>76.0</v>
      </c>
      <c r="T92" s="5">
        <v>71.0</v>
      </c>
      <c r="U92" s="6">
        <v>77.0</v>
      </c>
    </row>
    <row r="93">
      <c r="A93" s="7">
        <v>45930.0</v>
      </c>
      <c r="B93" s="8">
        <v>64.0</v>
      </c>
      <c r="C93" s="8">
        <v>86.0</v>
      </c>
      <c r="D93" s="8">
        <v>75.0</v>
      </c>
      <c r="E93" s="8">
        <v>71.0</v>
      </c>
      <c r="F93" s="8">
        <v>75.0</v>
      </c>
      <c r="G93" s="8">
        <v>71.0</v>
      </c>
      <c r="H93" s="8">
        <v>79.0</v>
      </c>
      <c r="I93" s="8">
        <v>71.0</v>
      </c>
      <c r="J93" s="8">
        <v>80.0</v>
      </c>
      <c r="K93" s="8">
        <v>82.0</v>
      </c>
      <c r="L93" s="8">
        <v>75.0</v>
      </c>
      <c r="M93" s="8">
        <v>79.0</v>
      </c>
      <c r="N93" s="8">
        <v>86.0</v>
      </c>
      <c r="O93" s="8">
        <v>74.0</v>
      </c>
      <c r="P93" s="8">
        <v>76.0</v>
      </c>
      <c r="Q93" s="8">
        <v>78.0</v>
      </c>
      <c r="R93" s="8">
        <v>72.0</v>
      </c>
      <c r="S93" s="8">
        <v>77.0</v>
      </c>
      <c r="T93" s="8">
        <v>84.0</v>
      </c>
      <c r="U93" s="9">
        <v>85.0</v>
      </c>
    </row>
    <row r="94">
      <c r="A94" s="4">
        <v>45931.0</v>
      </c>
      <c r="B94" s="5">
        <v>66.0</v>
      </c>
      <c r="C94" s="5">
        <v>75.0</v>
      </c>
      <c r="D94" s="5">
        <v>86.0</v>
      </c>
      <c r="E94" s="5">
        <v>73.0</v>
      </c>
      <c r="F94" s="5">
        <v>77.0</v>
      </c>
      <c r="G94" s="5">
        <v>75.0</v>
      </c>
      <c r="H94" s="5">
        <v>82.0</v>
      </c>
      <c r="I94" s="5">
        <v>72.0</v>
      </c>
      <c r="J94" s="5">
        <v>82.0</v>
      </c>
      <c r="K94" s="5">
        <v>83.0</v>
      </c>
      <c r="L94" s="5">
        <v>83.0</v>
      </c>
      <c r="M94" s="5">
        <v>80.0</v>
      </c>
      <c r="N94" s="5">
        <v>74.0</v>
      </c>
      <c r="O94" s="5">
        <v>76.0</v>
      </c>
      <c r="P94" s="5">
        <v>79.0</v>
      </c>
      <c r="Q94" s="5">
        <v>65.0</v>
      </c>
      <c r="R94" s="5">
        <v>75.0</v>
      </c>
      <c r="S94" s="5">
        <v>82.0</v>
      </c>
      <c r="T94" s="5">
        <v>86.0</v>
      </c>
      <c r="U94" s="6">
        <v>71.0</v>
      </c>
    </row>
    <row r="95">
      <c r="A95" s="7">
        <v>45932.0</v>
      </c>
      <c r="B95" s="8">
        <v>72.0</v>
      </c>
      <c r="C95" s="8">
        <v>73.0</v>
      </c>
      <c r="D95" s="8">
        <v>78.0</v>
      </c>
      <c r="E95" s="8">
        <v>75.0</v>
      </c>
      <c r="F95" s="8">
        <v>79.0</v>
      </c>
      <c r="G95" s="8">
        <v>80.0</v>
      </c>
      <c r="H95" s="8">
        <v>84.0</v>
      </c>
      <c r="I95" s="8">
        <v>68.0</v>
      </c>
      <c r="J95" s="8">
        <v>82.0</v>
      </c>
      <c r="K95" s="8">
        <v>85.0</v>
      </c>
      <c r="L95" s="8">
        <v>81.0</v>
      </c>
      <c r="M95" s="8">
        <v>82.0</v>
      </c>
      <c r="N95" s="8">
        <v>74.0</v>
      </c>
      <c r="O95" s="8">
        <v>75.0</v>
      </c>
      <c r="P95" s="8">
        <v>78.0</v>
      </c>
      <c r="Q95" s="8">
        <v>68.0</v>
      </c>
      <c r="R95" s="8">
        <v>72.0</v>
      </c>
      <c r="S95" s="8">
        <v>82.0</v>
      </c>
      <c r="T95" s="8">
        <v>85.0</v>
      </c>
      <c r="U95" s="9">
        <v>66.0</v>
      </c>
    </row>
    <row r="96">
      <c r="A96" s="4">
        <v>45933.0</v>
      </c>
      <c r="B96" s="5">
        <v>84.0</v>
      </c>
      <c r="C96" s="5">
        <v>75.0</v>
      </c>
      <c r="D96" s="5">
        <v>77.0</v>
      </c>
      <c r="E96" s="5">
        <v>84.0</v>
      </c>
      <c r="F96" s="5">
        <v>82.0</v>
      </c>
      <c r="G96" s="5">
        <v>81.0</v>
      </c>
      <c r="H96" s="5">
        <v>84.0</v>
      </c>
      <c r="I96" s="5">
        <v>66.0</v>
      </c>
      <c r="J96" s="5">
        <v>80.0</v>
      </c>
      <c r="K96" s="5">
        <v>83.0</v>
      </c>
      <c r="L96" s="5">
        <v>82.0</v>
      </c>
      <c r="M96" s="5">
        <v>77.0</v>
      </c>
      <c r="N96" s="5">
        <v>80.0</v>
      </c>
      <c r="O96" s="5">
        <v>76.0</v>
      </c>
      <c r="P96" s="5">
        <v>68.0</v>
      </c>
      <c r="Q96" s="5">
        <v>75.0</v>
      </c>
      <c r="R96" s="5">
        <v>74.0</v>
      </c>
      <c r="S96" s="5">
        <v>82.0</v>
      </c>
      <c r="T96" s="5">
        <v>78.0</v>
      </c>
      <c r="U96" s="6">
        <v>66.0</v>
      </c>
    </row>
    <row r="97">
      <c r="A97" s="7">
        <v>45934.0</v>
      </c>
      <c r="B97" s="8">
        <v>70.0</v>
      </c>
      <c r="C97" s="8">
        <v>78.0</v>
      </c>
      <c r="D97" s="8">
        <v>82.0</v>
      </c>
      <c r="E97" s="8">
        <v>71.0</v>
      </c>
      <c r="F97" s="8">
        <v>81.0</v>
      </c>
      <c r="G97" s="8">
        <v>80.0</v>
      </c>
      <c r="H97" s="8">
        <v>82.0</v>
      </c>
      <c r="I97" s="8">
        <v>77.0</v>
      </c>
      <c r="J97" s="8">
        <v>81.0</v>
      </c>
      <c r="K97" s="8">
        <v>85.0</v>
      </c>
      <c r="L97" s="8">
        <v>84.0</v>
      </c>
      <c r="M97" s="8">
        <v>80.0</v>
      </c>
      <c r="N97" s="8">
        <v>83.0</v>
      </c>
      <c r="O97" s="8">
        <v>74.0</v>
      </c>
      <c r="P97" s="8">
        <v>67.0</v>
      </c>
      <c r="Q97" s="8">
        <v>80.0</v>
      </c>
      <c r="R97" s="8">
        <v>82.0</v>
      </c>
      <c r="S97" s="8">
        <v>85.0</v>
      </c>
      <c r="T97" s="8">
        <v>65.0</v>
      </c>
      <c r="U97" s="9">
        <v>70.0</v>
      </c>
    </row>
    <row r="98">
      <c r="A98" s="4">
        <v>45935.0</v>
      </c>
      <c r="B98" s="5">
        <v>66.0</v>
      </c>
      <c r="C98" s="5">
        <v>81.0</v>
      </c>
      <c r="D98" s="5">
        <v>82.0</v>
      </c>
      <c r="E98" s="5">
        <v>73.0</v>
      </c>
      <c r="F98" s="5">
        <v>82.0</v>
      </c>
      <c r="G98" s="5">
        <v>79.0</v>
      </c>
      <c r="H98" s="5">
        <v>87.0</v>
      </c>
      <c r="I98" s="5">
        <v>78.0</v>
      </c>
      <c r="J98" s="5">
        <v>80.0</v>
      </c>
      <c r="K98" s="5">
        <v>81.0</v>
      </c>
      <c r="L98" s="5">
        <v>86.0</v>
      </c>
      <c r="M98" s="5">
        <v>81.0</v>
      </c>
      <c r="N98" s="5">
        <v>83.0</v>
      </c>
      <c r="O98" s="5">
        <v>62.0</v>
      </c>
      <c r="P98" s="5">
        <v>70.0</v>
      </c>
      <c r="Q98" s="5">
        <v>83.0</v>
      </c>
      <c r="R98" s="5">
        <v>82.0</v>
      </c>
      <c r="S98" s="5">
        <v>84.0</v>
      </c>
      <c r="T98" s="5">
        <v>71.0</v>
      </c>
      <c r="U98" s="6">
        <v>73.0</v>
      </c>
    </row>
    <row r="99">
      <c r="A99" s="7">
        <v>45936.0</v>
      </c>
      <c r="B99" s="8">
        <v>64.0</v>
      </c>
      <c r="C99" s="8">
        <v>82.0</v>
      </c>
      <c r="D99" s="8">
        <v>73.0</v>
      </c>
      <c r="E99" s="8">
        <v>71.0</v>
      </c>
      <c r="F99" s="8">
        <v>73.0</v>
      </c>
      <c r="G99" s="8">
        <v>70.0</v>
      </c>
      <c r="H99" s="8">
        <v>86.0</v>
      </c>
      <c r="I99" s="8">
        <v>75.0</v>
      </c>
      <c r="J99" s="8">
        <v>75.0</v>
      </c>
      <c r="K99" s="8">
        <v>72.0</v>
      </c>
      <c r="L99" s="8">
        <v>76.0</v>
      </c>
      <c r="M99" s="8">
        <v>82.0</v>
      </c>
      <c r="N99" s="8">
        <v>82.0</v>
      </c>
      <c r="O99" s="8">
        <v>71.0</v>
      </c>
      <c r="P99" s="8">
        <v>73.0</v>
      </c>
      <c r="Q99" s="8">
        <v>81.0</v>
      </c>
      <c r="R99" s="8">
        <v>83.0</v>
      </c>
      <c r="S99" s="8">
        <v>84.0</v>
      </c>
      <c r="T99" s="8">
        <v>78.0</v>
      </c>
      <c r="U99" s="9">
        <v>76.0</v>
      </c>
    </row>
    <row r="100">
      <c r="A100" s="4">
        <v>45937.0</v>
      </c>
      <c r="B100" s="5">
        <v>60.0</v>
      </c>
      <c r="C100" s="5">
        <v>82.0</v>
      </c>
      <c r="D100" s="5">
        <v>82.0</v>
      </c>
      <c r="E100" s="5">
        <v>73.0</v>
      </c>
      <c r="F100" s="5">
        <v>66.0</v>
      </c>
      <c r="G100" s="5">
        <v>68.0</v>
      </c>
      <c r="H100" s="5">
        <v>80.0</v>
      </c>
      <c r="I100" s="5">
        <v>73.0</v>
      </c>
      <c r="J100" s="5">
        <v>75.0</v>
      </c>
      <c r="K100" s="5">
        <v>72.0</v>
      </c>
      <c r="L100" s="5">
        <v>72.0</v>
      </c>
      <c r="M100" s="5">
        <v>83.0</v>
      </c>
      <c r="N100" s="5">
        <v>82.0</v>
      </c>
      <c r="O100" s="5">
        <v>79.0</v>
      </c>
      <c r="P100" s="5">
        <v>81.0</v>
      </c>
      <c r="Q100" s="5">
        <v>79.0</v>
      </c>
      <c r="R100" s="5">
        <v>68.0</v>
      </c>
      <c r="S100" s="5">
        <v>74.0</v>
      </c>
      <c r="T100" s="5">
        <v>82.0</v>
      </c>
      <c r="U100" s="6">
        <v>81.0</v>
      </c>
    </row>
    <row r="101">
      <c r="A101" s="7">
        <v>45938.0</v>
      </c>
      <c r="B101" s="8">
        <v>78.0</v>
      </c>
      <c r="C101" s="8">
        <v>82.0</v>
      </c>
      <c r="D101" s="8">
        <v>69.0</v>
      </c>
      <c r="E101" s="8">
        <v>73.0</v>
      </c>
      <c r="F101" s="8">
        <v>55.0</v>
      </c>
      <c r="G101" s="8">
        <v>79.0</v>
      </c>
      <c r="H101" s="8">
        <v>71.0</v>
      </c>
      <c r="I101" s="8">
        <v>73.0</v>
      </c>
      <c r="J101" s="8">
        <v>73.0</v>
      </c>
      <c r="K101" s="8">
        <v>73.0</v>
      </c>
      <c r="L101" s="8">
        <v>72.0</v>
      </c>
      <c r="M101" s="8">
        <v>83.0</v>
      </c>
      <c r="N101" s="8">
        <v>72.0</v>
      </c>
      <c r="O101" s="8">
        <v>80.0</v>
      </c>
      <c r="P101" s="8">
        <v>82.0</v>
      </c>
      <c r="Q101" s="8">
        <v>78.0</v>
      </c>
      <c r="R101" s="8">
        <v>63.0</v>
      </c>
      <c r="S101" s="8">
        <v>72.0</v>
      </c>
      <c r="T101" s="8">
        <v>86.0</v>
      </c>
      <c r="U101" s="9">
        <v>82.0</v>
      </c>
    </row>
    <row r="102">
      <c r="A102" s="4">
        <v>45939.0</v>
      </c>
      <c r="B102" s="5">
        <v>70.0</v>
      </c>
      <c r="C102" s="5">
        <v>80.0</v>
      </c>
      <c r="D102" s="5">
        <v>72.0</v>
      </c>
      <c r="E102" s="5">
        <v>72.0</v>
      </c>
      <c r="F102" s="5">
        <v>55.0</v>
      </c>
      <c r="G102" s="5">
        <v>66.0</v>
      </c>
      <c r="H102" s="5">
        <v>66.0</v>
      </c>
      <c r="I102" s="5">
        <v>73.0</v>
      </c>
      <c r="J102" s="5">
        <v>71.0</v>
      </c>
      <c r="K102" s="5">
        <v>70.0</v>
      </c>
      <c r="L102" s="5">
        <v>79.0</v>
      </c>
      <c r="M102" s="5">
        <v>81.0</v>
      </c>
      <c r="N102" s="5">
        <v>75.0</v>
      </c>
      <c r="O102" s="5">
        <v>85.0</v>
      </c>
      <c r="P102" s="5">
        <v>85.0</v>
      </c>
      <c r="Q102" s="5">
        <v>72.0</v>
      </c>
      <c r="R102" s="5">
        <v>70.0</v>
      </c>
      <c r="S102" s="5">
        <v>76.0</v>
      </c>
      <c r="T102" s="5">
        <v>86.0</v>
      </c>
      <c r="U102" s="6">
        <v>81.0</v>
      </c>
    </row>
    <row r="103">
      <c r="A103" s="7">
        <v>45940.0</v>
      </c>
      <c r="B103" s="8">
        <v>72.0</v>
      </c>
      <c r="C103" s="8">
        <v>82.0</v>
      </c>
      <c r="D103" s="8">
        <v>73.0</v>
      </c>
      <c r="E103" s="8">
        <v>72.0</v>
      </c>
      <c r="F103" s="8">
        <v>64.0</v>
      </c>
      <c r="G103" s="8">
        <v>73.0</v>
      </c>
      <c r="H103" s="8">
        <v>70.0</v>
      </c>
      <c r="I103" s="8">
        <v>73.0</v>
      </c>
      <c r="J103" s="8">
        <v>71.0</v>
      </c>
      <c r="K103" s="8">
        <v>77.0</v>
      </c>
      <c r="L103" s="8">
        <v>80.0</v>
      </c>
      <c r="M103" s="8">
        <v>81.0</v>
      </c>
      <c r="N103" s="8">
        <v>77.0</v>
      </c>
      <c r="O103" s="8">
        <v>74.0</v>
      </c>
      <c r="P103" s="8">
        <v>86.0</v>
      </c>
      <c r="Q103" s="8">
        <v>68.0</v>
      </c>
      <c r="R103" s="8">
        <v>73.0</v>
      </c>
      <c r="S103" s="8">
        <v>80.0</v>
      </c>
      <c r="T103" s="8">
        <v>86.0</v>
      </c>
      <c r="U103" s="9">
        <v>71.0</v>
      </c>
    </row>
    <row r="104">
      <c r="A104" s="4">
        <v>45941.0</v>
      </c>
      <c r="B104" s="5">
        <v>69.0</v>
      </c>
      <c r="C104" s="5">
        <v>82.0</v>
      </c>
      <c r="D104" s="5">
        <v>78.0</v>
      </c>
      <c r="E104" s="5">
        <v>73.0</v>
      </c>
      <c r="F104" s="5">
        <v>71.0</v>
      </c>
      <c r="G104" s="5">
        <v>75.0</v>
      </c>
      <c r="H104" s="5">
        <v>78.0</v>
      </c>
      <c r="I104" s="5">
        <v>66.0</v>
      </c>
      <c r="J104" s="5">
        <v>77.0</v>
      </c>
      <c r="K104" s="5">
        <v>82.0</v>
      </c>
      <c r="L104" s="5">
        <v>80.0</v>
      </c>
      <c r="M104" s="5">
        <v>67.0</v>
      </c>
      <c r="N104" s="5">
        <v>78.0</v>
      </c>
      <c r="O104" s="5">
        <v>77.0</v>
      </c>
      <c r="P104" s="5">
        <v>86.0</v>
      </c>
      <c r="Q104" s="5">
        <v>65.0</v>
      </c>
      <c r="R104" s="5">
        <v>75.0</v>
      </c>
      <c r="S104" s="5">
        <v>79.0</v>
      </c>
      <c r="T104" s="5">
        <v>86.0</v>
      </c>
      <c r="U104" s="6">
        <v>73.0</v>
      </c>
    </row>
    <row r="105">
      <c r="A105" s="7">
        <v>45942.0</v>
      </c>
      <c r="B105" s="8">
        <v>69.0</v>
      </c>
      <c r="C105" s="8">
        <v>79.0</v>
      </c>
      <c r="D105" s="8">
        <v>78.0</v>
      </c>
      <c r="E105" s="8">
        <v>70.0</v>
      </c>
      <c r="F105" s="8">
        <v>73.0</v>
      </c>
      <c r="G105" s="8">
        <v>78.0</v>
      </c>
      <c r="H105" s="8">
        <v>84.0</v>
      </c>
      <c r="I105" s="8">
        <v>78.0</v>
      </c>
      <c r="J105" s="8">
        <v>73.0</v>
      </c>
      <c r="K105" s="8">
        <v>74.0</v>
      </c>
      <c r="L105" s="8">
        <v>71.0</v>
      </c>
      <c r="M105" s="8">
        <v>72.0</v>
      </c>
      <c r="N105" s="8">
        <v>77.0</v>
      </c>
      <c r="O105" s="8">
        <v>66.0</v>
      </c>
      <c r="P105" s="8">
        <v>80.0</v>
      </c>
      <c r="Q105" s="8">
        <v>73.0</v>
      </c>
      <c r="R105" s="8">
        <v>79.0</v>
      </c>
      <c r="S105" s="8">
        <v>81.0</v>
      </c>
      <c r="T105" s="8">
        <v>85.0</v>
      </c>
      <c r="U105" s="9">
        <v>76.0</v>
      </c>
    </row>
    <row r="106">
      <c r="A106" s="4">
        <v>45943.0</v>
      </c>
      <c r="B106" s="5">
        <v>73.0</v>
      </c>
      <c r="C106" s="5">
        <v>80.0</v>
      </c>
      <c r="D106" s="5">
        <v>78.0</v>
      </c>
      <c r="E106" s="5">
        <v>64.0</v>
      </c>
      <c r="F106" s="5">
        <v>75.0</v>
      </c>
      <c r="G106" s="5">
        <v>78.0</v>
      </c>
      <c r="H106" s="5">
        <v>79.0</v>
      </c>
      <c r="I106" s="5">
        <v>78.0</v>
      </c>
      <c r="J106" s="5">
        <v>64.0</v>
      </c>
      <c r="K106" s="5">
        <v>77.0</v>
      </c>
      <c r="L106" s="5">
        <v>62.0</v>
      </c>
      <c r="M106" s="5">
        <v>74.0</v>
      </c>
      <c r="N106" s="5">
        <v>77.0</v>
      </c>
      <c r="O106" s="5">
        <v>73.0</v>
      </c>
      <c r="P106" s="5">
        <v>80.0</v>
      </c>
      <c r="Q106" s="5">
        <v>74.0</v>
      </c>
      <c r="R106" s="5">
        <v>75.0</v>
      </c>
      <c r="S106" s="5">
        <v>82.0</v>
      </c>
      <c r="T106" s="5">
        <v>85.0</v>
      </c>
      <c r="U106" s="6">
        <v>81.0</v>
      </c>
    </row>
    <row r="107">
      <c r="A107" s="7">
        <v>45944.0</v>
      </c>
      <c r="B107" s="8">
        <v>79.0</v>
      </c>
      <c r="C107" s="8">
        <v>68.0</v>
      </c>
      <c r="D107" s="8">
        <v>75.0</v>
      </c>
      <c r="E107" s="8">
        <v>75.0</v>
      </c>
      <c r="F107" s="8">
        <v>75.0</v>
      </c>
      <c r="G107" s="8">
        <v>75.0</v>
      </c>
      <c r="H107" s="8">
        <v>68.0</v>
      </c>
      <c r="I107" s="8">
        <v>78.0</v>
      </c>
      <c r="J107" s="8">
        <v>63.0</v>
      </c>
      <c r="K107" s="8">
        <v>78.0</v>
      </c>
      <c r="L107" s="8">
        <v>69.0</v>
      </c>
      <c r="M107" s="8">
        <v>78.0</v>
      </c>
      <c r="N107" s="8">
        <v>80.0</v>
      </c>
      <c r="O107" s="8">
        <v>66.0</v>
      </c>
      <c r="P107" s="8">
        <v>73.0</v>
      </c>
      <c r="Q107" s="8">
        <v>77.0</v>
      </c>
      <c r="R107" s="8">
        <v>77.0</v>
      </c>
      <c r="S107" s="8">
        <v>77.0</v>
      </c>
      <c r="T107" s="8">
        <v>75.0</v>
      </c>
      <c r="U107" s="9">
        <v>78.0</v>
      </c>
    </row>
    <row r="108">
      <c r="A108" s="4">
        <v>45945.0</v>
      </c>
      <c r="B108" s="5">
        <v>81.0</v>
      </c>
      <c r="C108" s="5">
        <v>63.0</v>
      </c>
      <c r="D108" s="5">
        <v>79.0</v>
      </c>
      <c r="E108" s="5">
        <v>73.0</v>
      </c>
      <c r="F108" s="5">
        <v>77.0</v>
      </c>
      <c r="G108" s="5">
        <v>75.0</v>
      </c>
      <c r="H108" s="5">
        <v>57.0</v>
      </c>
      <c r="I108" s="5">
        <v>69.0</v>
      </c>
      <c r="J108" s="5">
        <v>62.0</v>
      </c>
      <c r="K108" s="5">
        <v>79.0</v>
      </c>
      <c r="L108" s="5">
        <v>70.0</v>
      </c>
      <c r="M108" s="5">
        <v>78.0</v>
      </c>
      <c r="N108" s="5">
        <v>81.0</v>
      </c>
      <c r="O108" s="5">
        <v>61.0</v>
      </c>
      <c r="P108" s="5">
        <v>78.0</v>
      </c>
      <c r="Q108" s="5">
        <v>80.0</v>
      </c>
      <c r="R108" s="5">
        <v>77.0</v>
      </c>
      <c r="S108" s="5">
        <v>68.0</v>
      </c>
      <c r="T108" s="5">
        <v>69.0</v>
      </c>
      <c r="U108" s="6">
        <v>81.0</v>
      </c>
    </row>
    <row r="109">
      <c r="A109" s="7">
        <v>45946.0</v>
      </c>
      <c r="B109" s="8">
        <v>80.0</v>
      </c>
      <c r="C109" s="8">
        <v>57.0</v>
      </c>
      <c r="D109" s="8">
        <v>78.0</v>
      </c>
      <c r="E109" s="8">
        <v>77.0</v>
      </c>
      <c r="F109" s="8">
        <v>80.0</v>
      </c>
      <c r="G109" s="8">
        <v>62.0</v>
      </c>
      <c r="H109" s="8">
        <v>66.0</v>
      </c>
      <c r="I109" s="8">
        <v>72.0</v>
      </c>
      <c r="J109" s="8">
        <v>71.0</v>
      </c>
      <c r="K109" s="8">
        <v>76.0</v>
      </c>
      <c r="L109" s="8">
        <v>59.0</v>
      </c>
      <c r="M109" s="8">
        <v>76.0</v>
      </c>
      <c r="N109" s="8">
        <v>83.0</v>
      </c>
      <c r="O109" s="8">
        <v>61.0</v>
      </c>
      <c r="P109" s="8">
        <v>76.0</v>
      </c>
      <c r="Q109" s="8">
        <v>84.0</v>
      </c>
      <c r="R109" s="8">
        <v>74.0</v>
      </c>
      <c r="S109" s="8">
        <v>74.0</v>
      </c>
      <c r="T109" s="8">
        <v>70.0</v>
      </c>
      <c r="U109" s="9">
        <v>77.0</v>
      </c>
    </row>
    <row r="110">
      <c r="A110" s="4">
        <v>45947.0</v>
      </c>
      <c r="B110" s="5">
        <v>82.0</v>
      </c>
      <c r="C110" s="5">
        <v>66.0</v>
      </c>
      <c r="D110" s="5">
        <v>77.0</v>
      </c>
      <c r="E110" s="5">
        <v>80.0</v>
      </c>
      <c r="F110" s="5">
        <v>80.0</v>
      </c>
      <c r="G110" s="5">
        <v>60.0</v>
      </c>
      <c r="H110" s="5">
        <v>64.0</v>
      </c>
      <c r="I110" s="5">
        <v>68.0</v>
      </c>
      <c r="J110" s="5">
        <v>75.0</v>
      </c>
      <c r="K110" s="5">
        <v>75.0</v>
      </c>
      <c r="L110" s="5">
        <v>71.0</v>
      </c>
      <c r="M110" s="5">
        <v>82.0</v>
      </c>
      <c r="N110" s="5">
        <v>69.0</v>
      </c>
      <c r="O110" s="5">
        <v>51.0</v>
      </c>
      <c r="P110" s="5">
        <v>80.0</v>
      </c>
      <c r="Q110" s="5">
        <v>85.0</v>
      </c>
      <c r="R110" s="5">
        <v>75.0</v>
      </c>
      <c r="S110" s="5">
        <v>72.0</v>
      </c>
      <c r="T110" s="5">
        <v>80.0</v>
      </c>
      <c r="U110" s="6">
        <v>70.0</v>
      </c>
    </row>
    <row r="111">
      <c r="A111" s="7">
        <v>45948.0</v>
      </c>
      <c r="B111" s="8">
        <v>66.0</v>
      </c>
      <c r="C111" s="8">
        <v>64.0</v>
      </c>
      <c r="D111" s="8">
        <v>78.0</v>
      </c>
      <c r="E111" s="8">
        <v>71.0</v>
      </c>
      <c r="F111" s="8">
        <v>80.0</v>
      </c>
      <c r="G111" s="8">
        <v>64.0</v>
      </c>
      <c r="H111" s="8">
        <v>68.0</v>
      </c>
      <c r="I111" s="8">
        <v>70.0</v>
      </c>
      <c r="J111" s="8">
        <v>73.0</v>
      </c>
      <c r="K111" s="8">
        <v>81.0</v>
      </c>
      <c r="L111" s="8">
        <v>77.0</v>
      </c>
      <c r="M111" s="8">
        <v>77.0</v>
      </c>
      <c r="N111" s="8">
        <v>67.0</v>
      </c>
      <c r="O111" s="8">
        <v>55.0</v>
      </c>
      <c r="P111" s="8">
        <v>78.0</v>
      </c>
      <c r="Q111" s="8">
        <v>80.0</v>
      </c>
      <c r="R111" s="8">
        <v>74.0</v>
      </c>
      <c r="S111" s="8">
        <v>73.0</v>
      </c>
      <c r="T111" s="8">
        <v>76.0</v>
      </c>
      <c r="U111" s="9">
        <v>66.0</v>
      </c>
    </row>
    <row r="112">
      <c r="A112" s="4">
        <v>45949.0</v>
      </c>
      <c r="B112" s="5">
        <v>63.0</v>
      </c>
      <c r="C112" s="5">
        <v>69.0</v>
      </c>
      <c r="D112" s="5">
        <v>82.0</v>
      </c>
      <c r="E112" s="5">
        <v>66.0</v>
      </c>
      <c r="F112" s="5">
        <v>73.0</v>
      </c>
      <c r="G112" s="5">
        <v>71.0</v>
      </c>
      <c r="H112" s="5">
        <v>71.0</v>
      </c>
      <c r="I112" s="5">
        <v>75.0</v>
      </c>
      <c r="J112" s="5">
        <v>68.0</v>
      </c>
      <c r="K112" s="5">
        <v>83.0</v>
      </c>
      <c r="L112" s="5">
        <v>76.0</v>
      </c>
      <c r="M112" s="5">
        <v>76.0</v>
      </c>
      <c r="N112" s="5">
        <v>65.0</v>
      </c>
      <c r="O112" s="5">
        <v>61.0</v>
      </c>
      <c r="P112" s="5">
        <v>82.0</v>
      </c>
      <c r="Q112" s="5">
        <v>67.0</v>
      </c>
      <c r="R112" s="5">
        <v>73.0</v>
      </c>
      <c r="S112" s="5">
        <v>63.0</v>
      </c>
      <c r="T112" s="5">
        <v>73.0</v>
      </c>
      <c r="U112" s="6">
        <v>64.0</v>
      </c>
    </row>
    <row r="113">
      <c r="A113" s="7">
        <v>45950.0</v>
      </c>
      <c r="B113" s="8">
        <v>68.0</v>
      </c>
      <c r="C113" s="8">
        <v>70.0</v>
      </c>
      <c r="D113" s="8">
        <v>75.0</v>
      </c>
      <c r="E113" s="8">
        <v>60.0</v>
      </c>
      <c r="F113" s="8">
        <v>73.0</v>
      </c>
      <c r="G113" s="8">
        <v>75.0</v>
      </c>
      <c r="H113" s="8">
        <v>73.0</v>
      </c>
      <c r="I113" s="8">
        <v>78.0</v>
      </c>
      <c r="J113" s="8">
        <v>71.0</v>
      </c>
      <c r="K113" s="8">
        <v>83.0</v>
      </c>
      <c r="L113" s="8">
        <v>69.0</v>
      </c>
      <c r="M113" s="8">
        <v>75.0</v>
      </c>
      <c r="N113" s="8">
        <v>66.0</v>
      </c>
      <c r="O113" s="8">
        <v>68.0</v>
      </c>
      <c r="P113" s="8">
        <v>77.0</v>
      </c>
      <c r="Q113" s="8">
        <v>59.0</v>
      </c>
      <c r="R113" s="8">
        <v>71.0</v>
      </c>
      <c r="S113" s="8">
        <v>70.0</v>
      </c>
      <c r="T113" s="8">
        <v>73.0</v>
      </c>
      <c r="U113" s="9">
        <v>71.0</v>
      </c>
    </row>
    <row r="114">
      <c r="A114" s="4">
        <v>45951.0</v>
      </c>
      <c r="B114" s="5">
        <v>79.0</v>
      </c>
      <c r="C114" s="5">
        <v>70.0</v>
      </c>
      <c r="D114" s="5">
        <v>73.0</v>
      </c>
      <c r="E114" s="5">
        <v>64.0</v>
      </c>
      <c r="F114" s="5">
        <v>75.0</v>
      </c>
      <c r="G114" s="5">
        <v>79.0</v>
      </c>
      <c r="H114" s="5">
        <v>71.0</v>
      </c>
      <c r="I114" s="5">
        <v>84.0</v>
      </c>
      <c r="J114" s="5">
        <v>73.0</v>
      </c>
      <c r="K114" s="5">
        <v>80.0</v>
      </c>
      <c r="L114" s="5">
        <v>69.0</v>
      </c>
      <c r="M114" s="5">
        <v>78.0</v>
      </c>
      <c r="N114" s="5">
        <v>72.0</v>
      </c>
      <c r="O114" s="5">
        <v>71.0</v>
      </c>
      <c r="P114" s="5">
        <v>80.0</v>
      </c>
      <c r="Q114" s="5">
        <v>63.0</v>
      </c>
      <c r="R114" s="5">
        <v>76.0</v>
      </c>
      <c r="S114" s="5">
        <v>72.0</v>
      </c>
      <c r="T114" s="5">
        <v>77.0</v>
      </c>
      <c r="U114" s="6">
        <v>76.0</v>
      </c>
    </row>
    <row r="115">
      <c r="A115" s="7">
        <v>45952.0</v>
      </c>
      <c r="B115" s="8">
        <v>81.0</v>
      </c>
      <c r="C115" s="8">
        <v>62.0</v>
      </c>
      <c r="D115" s="8">
        <v>63.0</v>
      </c>
      <c r="E115" s="8">
        <v>73.0</v>
      </c>
      <c r="F115" s="8">
        <v>79.0</v>
      </c>
      <c r="G115" s="8">
        <v>80.0</v>
      </c>
      <c r="H115" s="8">
        <v>64.0</v>
      </c>
      <c r="I115" s="8">
        <v>78.0</v>
      </c>
      <c r="J115" s="8">
        <v>73.0</v>
      </c>
      <c r="K115" s="8">
        <v>67.0</v>
      </c>
      <c r="L115" s="8">
        <v>70.0</v>
      </c>
      <c r="M115" s="8">
        <v>72.0</v>
      </c>
      <c r="N115" s="8">
        <v>68.0</v>
      </c>
      <c r="O115" s="8">
        <v>74.0</v>
      </c>
      <c r="P115" s="8">
        <v>78.0</v>
      </c>
      <c r="Q115" s="8">
        <v>68.0</v>
      </c>
      <c r="R115" s="8">
        <v>79.0</v>
      </c>
      <c r="S115" s="8">
        <v>69.0</v>
      </c>
      <c r="T115" s="8">
        <v>70.0</v>
      </c>
      <c r="U115" s="9">
        <v>79.0</v>
      </c>
    </row>
    <row r="116">
      <c r="A116" s="4">
        <v>45953.0</v>
      </c>
      <c r="B116" s="5">
        <v>69.0</v>
      </c>
      <c r="C116" s="5">
        <v>63.0</v>
      </c>
      <c r="D116" s="5">
        <v>63.0</v>
      </c>
      <c r="E116" s="5">
        <v>57.0</v>
      </c>
      <c r="F116" s="5">
        <v>75.0</v>
      </c>
      <c r="G116" s="5">
        <v>81.0</v>
      </c>
      <c r="H116" s="5">
        <v>59.0</v>
      </c>
      <c r="I116" s="5">
        <v>78.0</v>
      </c>
      <c r="J116" s="5">
        <v>70.0</v>
      </c>
      <c r="K116" s="5">
        <v>70.0</v>
      </c>
      <c r="L116" s="5">
        <v>53.0</v>
      </c>
      <c r="M116" s="5">
        <v>81.0</v>
      </c>
      <c r="N116" s="5">
        <v>62.0</v>
      </c>
      <c r="O116" s="5">
        <v>72.0</v>
      </c>
      <c r="P116" s="5">
        <v>76.0</v>
      </c>
      <c r="Q116" s="5">
        <v>70.0</v>
      </c>
      <c r="R116" s="5">
        <v>78.0</v>
      </c>
      <c r="S116" s="5">
        <v>63.0</v>
      </c>
      <c r="T116" s="5">
        <v>72.0</v>
      </c>
      <c r="U116" s="6">
        <v>81.0</v>
      </c>
    </row>
    <row r="117">
      <c r="A117" s="7">
        <v>45954.0</v>
      </c>
      <c r="B117" s="8">
        <v>73.0</v>
      </c>
      <c r="C117" s="8">
        <v>62.0</v>
      </c>
      <c r="D117" s="8">
        <v>72.0</v>
      </c>
      <c r="E117" s="8">
        <v>59.0</v>
      </c>
      <c r="F117" s="8">
        <v>75.0</v>
      </c>
      <c r="G117" s="8">
        <v>79.0</v>
      </c>
      <c r="H117" s="8">
        <v>68.0</v>
      </c>
      <c r="I117" s="8">
        <v>73.0</v>
      </c>
      <c r="J117" s="8">
        <v>73.0</v>
      </c>
      <c r="K117" s="8">
        <v>56.0</v>
      </c>
      <c r="L117" s="8">
        <v>56.0</v>
      </c>
      <c r="M117" s="8">
        <v>59.0</v>
      </c>
      <c r="N117" s="8">
        <v>54.0</v>
      </c>
      <c r="O117" s="8">
        <v>69.0</v>
      </c>
      <c r="P117" s="8">
        <v>81.0</v>
      </c>
      <c r="Q117" s="8">
        <v>73.0</v>
      </c>
      <c r="R117" s="8">
        <v>79.0</v>
      </c>
      <c r="S117" s="8">
        <v>66.0</v>
      </c>
      <c r="T117" s="8">
        <v>74.0</v>
      </c>
      <c r="U117" s="9">
        <v>76.0</v>
      </c>
    </row>
    <row r="118">
      <c r="A118" s="4">
        <v>45955.0</v>
      </c>
      <c r="B118" s="5">
        <v>73.0</v>
      </c>
      <c r="C118" s="5">
        <v>75.0</v>
      </c>
      <c r="D118" s="5">
        <v>75.0</v>
      </c>
      <c r="E118" s="5">
        <v>64.0</v>
      </c>
      <c r="F118" s="5">
        <v>78.0</v>
      </c>
      <c r="G118" s="5">
        <v>73.0</v>
      </c>
      <c r="H118" s="5">
        <v>60.0</v>
      </c>
      <c r="I118" s="5">
        <v>73.0</v>
      </c>
      <c r="J118" s="5">
        <v>78.0</v>
      </c>
      <c r="K118" s="5">
        <v>54.0</v>
      </c>
      <c r="L118" s="5">
        <v>55.0</v>
      </c>
      <c r="M118" s="5">
        <v>61.0</v>
      </c>
      <c r="N118" s="5">
        <v>67.0</v>
      </c>
      <c r="O118" s="5">
        <v>65.0</v>
      </c>
      <c r="P118" s="5">
        <v>76.0</v>
      </c>
      <c r="Q118" s="5">
        <v>76.0</v>
      </c>
      <c r="R118" s="5">
        <v>80.0</v>
      </c>
      <c r="S118" s="5">
        <v>56.0</v>
      </c>
      <c r="T118" s="5">
        <v>77.0</v>
      </c>
      <c r="U118" s="6">
        <v>71.0</v>
      </c>
    </row>
    <row r="119">
      <c r="A119" s="7">
        <v>45956.0</v>
      </c>
      <c r="B119" s="8">
        <v>75.0</v>
      </c>
      <c r="C119" s="8">
        <v>71.0</v>
      </c>
      <c r="D119" s="8">
        <v>79.0</v>
      </c>
      <c r="E119" s="8">
        <v>69.0</v>
      </c>
      <c r="F119" s="8">
        <v>75.0</v>
      </c>
      <c r="G119" s="8">
        <v>64.0</v>
      </c>
      <c r="H119" s="8">
        <v>68.0</v>
      </c>
      <c r="I119" s="8">
        <v>68.0</v>
      </c>
      <c r="J119" s="8">
        <v>79.0</v>
      </c>
      <c r="K119" s="8">
        <v>61.0</v>
      </c>
      <c r="L119" s="8">
        <v>62.0</v>
      </c>
      <c r="M119" s="8">
        <v>68.0</v>
      </c>
      <c r="N119" s="8">
        <v>70.0</v>
      </c>
      <c r="O119" s="8">
        <v>65.0</v>
      </c>
      <c r="P119" s="8">
        <v>85.0</v>
      </c>
      <c r="Q119" s="8">
        <v>77.0</v>
      </c>
      <c r="R119" s="8">
        <v>80.0</v>
      </c>
      <c r="S119" s="8">
        <v>61.0</v>
      </c>
      <c r="T119" s="8">
        <v>84.0</v>
      </c>
      <c r="U119" s="9">
        <v>67.0</v>
      </c>
    </row>
    <row r="120">
      <c r="A120" s="4">
        <v>45957.0</v>
      </c>
      <c r="B120" s="5">
        <v>75.0</v>
      </c>
      <c r="C120" s="5">
        <v>57.0</v>
      </c>
      <c r="D120" s="5">
        <v>79.0</v>
      </c>
      <c r="E120" s="5">
        <v>75.0</v>
      </c>
      <c r="F120" s="5">
        <v>78.0</v>
      </c>
      <c r="G120" s="5">
        <v>51.0</v>
      </c>
      <c r="H120" s="5">
        <v>69.0</v>
      </c>
      <c r="I120" s="5">
        <v>64.0</v>
      </c>
      <c r="J120" s="5">
        <v>81.0</v>
      </c>
      <c r="K120" s="5">
        <v>63.0</v>
      </c>
      <c r="L120" s="5">
        <v>66.0</v>
      </c>
      <c r="M120" s="5">
        <v>67.0</v>
      </c>
      <c r="N120" s="5">
        <v>59.0</v>
      </c>
      <c r="O120" s="5">
        <v>60.0</v>
      </c>
      <c r="P120" s="5">
        <v>76.0</v>
      </c>
      <c r="Q120" s="5">
        <v>79.0</v>
      </c>
      <c r="R120" s="5">
        <v>70.0</v>
      </c>
      <c r="S120" s="5">
        <v>69.0</v>
      </c>
      <c r="T120" s="5">
        <v>84.0</v>
      </c>
      <c r="U120" s="6">
        <v>56.0</v>
      </c>
    </row>
    <row r="121">
      <c r="A121" s="7">
        <v>45958.0</v>
      </c>
      <c r="B121" s="8">
        <v>81.0</v>
      </c>
      <c r="C121" s="8">
        <v>55.0</v>
      </c>
      <c r="D121" s="8">
        <v>79.0</v>
      </c>
      <c r="E121" s="8">
        <v>73.0</v>
      </c>
      <c r="F121" s="8">
        <v>80.0</v>
      </c>
      <c r="G121" s="8">
        <v>55.0</v>
      </c>
      <c r="H121" s="8">
        <v>75.0</v>
      </c>
      <c r="I121" s="8">
        <v>57.0</v>
      </c>
      <c r="J121" s="8">
        <v>78.0</v>
      </c>
      <c r="K121" s="8">
        <v>62.0</v>
      </c>
      <c r="L121" s="8">
        <v>63.0</v>
      </c>
      <c r="M121" s="8">
        <v>70.0</v>
      </c>
      <c r="N121" s="8">
        <v>50.0</v>
      </c>
      <c r="O121" s="8">
        <v>71.0</v>
      </c>
      <c r="P121" s="8">
        <v>74.0</v>
      </c>
      <c r="Q121" s="8">
        <v>74.0</v>
      </c>
      <c r="R121" s="8">
        <v>56.0</v>
      </c>
      <c r="S121" s="8">
        <v>64.0</v>
      </c>
      <c r="T121" s="8">
        <v>77.0</v>
      </c>
      <c r="U121" s="9">
        <v>78.0</v>
      </c>
    </row>
    <row r="122">
      <c r="A122" s="4">
        <v>45959.0</v>
      </c>
      <c r="B122" s="5">
        <v>82.0</v>
      </c>
      <c r="C122" s="5">
        <v>64.0</v>
      </c>
      <c r="D122" s="5">
        <v>78.0</v>
      </c>
      <c r="E122" s="5">
        <v>72.0</v>
      </c>
      <c r="F122" s="5">
        <v>75.0</v>
      </c>
      <c r="G122" s="5">
        <v>63.0</v>
      </c>
      <c r="H122" s="5">
        <v>75.0</v>
      </c>
      <c r="I122" s="5">
        <v>70.0</v>
      </c>
      <c r="J122" s="5">
        <v>75.0</v>
      </c>
      <c r="K122" s="5">
        <v>64.0</v>
      </c>
      <c r="L122" s="5">
        <v>72.0</v>
      </c>
      <c r="M122" s="5">
        <v>62.0</v>
      </c>
      <c r="N122" s="5">
        <v>59.0</v>
      </c>
      <c r="O122" s="5">
        <v>75.0</v>
      </c>
      <c r="P122" s="5">
        <v>68.0</v>
      </c>
      <c r="Q122" s="5">
        <v>59.0</v>
      </c>
      <c r="R122" s="5">
        <v>56.0</v>
      </c>
      <c r="S122" s="5">
        <v>75.0</v>
      </c>
      <c r="T122" s="5">
        <v>73.0</v>
      </c>
      <c r="U122" s="6">
        <v>70.0</v>
      </c>
    </row>
    <row r="123">
      <c r="A123" s="7">
        <v>45960.0</v>
      </c>
      <c r="B123" s="8">
        <v>82.0</v>
      </c>
      <c r="C123" s="8">
        <v>66.0</v>
      </c>
      <c r="D123" s="8">
        <v>82.0</v>
      </c>
      <c r="E123" s="8">
        <v>75.0</v>
      </c>
      <c r="F123" s="8">
        <v>77.0</v>
      </c>
      <c r="G123" s="8">
        <v>72.0</v>
      </c>
      <c r="H123" s="8">
        <v>68.0</v>
      </c>
      <c r="I123" s="8">
        <v>77.0</v>
      </c>
      <c r="J123" s="8">
        <v>78.0</v>
      </c>
      <c r="K123" s="8">
        <v>69.0</v>
      </c>
      <c r="L123" s="8">
        <v>73.0</v>
      </c>
      <c r="M123" s="8">
        <v>67.0</v>
      </c>
      <c r="N123" s="8">
        <v>65.0</v>
      </c>
      <c r="O123" s="8">
        <v>66.0</v>
      </c>
      <c r="P123" s="8">
        <v>71.0</v>
      </c>
      <c r="Q123" s="8">
        <v>61.0</v>
      </c>
      <c r="R123" s="8">
        <v>56.0</v>
      </c>
      <c r="S123" s="8">
        <v>78.0</v>
      </c>
      <c r="T123" s="8">
        <v>68.0</v>
      </c>
      <c r="U123" s="9">
        <v>70.0</v>
      </c>
    </row>
    <row r="124">
      <c r="A124" s="10">
        <v>45961.0</v>
      </c>
      <c r="B124" s="11">
        <v>81.0</v>
      </c>
      <c r="C124" s="11">
        <v>60.0</v>
      </c>
      <c r="D124" s="11">
        <v>79.0</v>
      </c>
      <c r="E124" s="11">
        <v>75.0</v>
      </c>
      <c r="F124" s="11">
        <v>78.0</v>
      </c>
      <c r="G124" s="11">
        <v>71.0</v>
      </c>
      <c r="H124" s="11">
        <v>60.0</v>
      </c>
      <c r="I124" s="11">
        <v>75.0</v>
      </c>
      <c r="J124" s="11">
        <v>82.0</v>
      </c>
      <c r="K124" s="11">
        <v>70.0</v>
      </c>
      <c r="L124" s="11">
        <v>68.0</v>
      </c>
      <c r="M124" s="11">
        <v>71.0</v>
      </c>
      <c r="N124" s="11">
        <v>67.0</v>
      </c>
      <c r="O124" s="11">
        <v>69.0</v>
      </c>
      <c r="P124" s="11">
        <v>75.0</v>
      </c>
      <c r="Q124" s="11">
        <v>65.0</v>
      </c>
      <c r="R124" s="11">
        <v>65.0</v>
      </c>
      <c r="S124" s="11">
        <v>74.0</v>
      </c>
      <c r="T124" s="11">
        <v>63.0</v>
      </c>
      <c r="U124" s="12">
        <v>62.0</v>
      </c>
    </row>
  </sheetData>
  <dataValidations>
    <dataValidation type="custom" allowBlank="1" showDropDown="1" sqref="A2:A124">
      <formula1>OR(NOT(ISERROR(DATEVALUE(A2))), AND(ISNUMBER(A2), LEFT(CELL("format", A2))="D"))</formula1>
    </dataValidation>
    <dataValidation type="custom" allowBlank="1" showDropDown="1" sqref="B2:U12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4">
        <v>1997.0</v>
      </c>
      <c r="C1" s="14">
        <v>1998.0</v>
      </c>
      <c r="D1" s="14">
        <v>1999.0</v>
      </c>
      <c r="E1" s="14">
        <v>2000.0</v>
      </c>
      <c r="F1" s="14">
        <v>2001.0</v>
      </c>
      <c r="G1" s="14">
        <v>2002.0</v>
      </c>
      <c r="H1" s="14">
        <v>2003.0</v>
      </c>
      <c r="I1" s="14">
        <v>2004.0</v>
      </c>
      <c r="J1" s="14">
        <v>2005.0</v>
      </c>
      <c r="K1" s="14">
        <v>2006.0</v>
      </c>
      <c r="L1" s="14">
        <v>2007.0</v>
      </c>
      <c r="M1" s="14">
        <v>2008.0</v>
      </c>
      <c r="N1" s="14">
        <v>2009.0</v>
      </c>
      <c r="O1" s="14">
        <v>2010.0</v>
      </c>
      <c r="P1" s="14">
        <v>2011.0</v>
      </c>
      <c r="Q1" s="14">
        <v>2012.0</v>
      </c>
      <c r="R1" s="14">
        <v>2013.0</v>
      </c>
      <c r="S1" s="14">
        <v>2014.0</v>
      </c>
      <c r="T1" s="14">
        <v>2015.0</v>
      </c>
    </row>
    <row r="2">
      <c r="A2" s="15">
        <v>45839.0</v>
      </c>
      <c r="B2" s="16">
        <v>87.17619</v>
      </c>
      <c r="C2" s="16">
        <v>65.99606</v>
      </c>
      <c r="D2" s="16">
        <v>89.75466</v>
      </c>
      <c r="E2" s="16">
        <v>83.65738</v>
      </c>
      <c r="F2" s="16">
        <v>87.44361</v>
      </c>
      <c r="G2" s="16">
        <v>79.13415</v>
      </c>
      <c r="H2" s="16">
        <v>74.12006</v>
      </c>
      <c r="I2" s="17">
        <v>86.89937</v>
      </c>
      <c r="J2" s="16">
        <v>91.15242</v>
      </c>
      <c r="K2" s="16">
        <v>79.17602</v>
      </c>
      <c r="L2" s="16">
        <v>82.08626</v>
      </c>
      <c r="M2" s="16">
        <v>85.64527</v>
      </c>
      <c r="N2" s="16">
        <v>81.25471</v>
      </c>
      <c r="O2" s="16">
        <v>87.07795</v>
      </c>
      <c r="P2" s="16">
        <v>92.70889</v>
      </c>
      <c r="Q2" s="16">
        <v>83.33264</v>
      </c>
      <c r="R2" s="16">
        <v>87.07333</v>
      </c>
      <c r="S2" s="16">
        <v>98.76579</v>
      </c>
      <c r="T2" s="16">
        <v>89.08086</v>
      </c>
    </row>
    <row r="3">
      <c r="A3" s="15">
        <v>45840.0</v>
      </c>
      <c r="B3" s="16">
        <v>90.32925</v>
      </c>
      <c r="C3" s="16">
        <v>86.63516</v>
      </c>
      <c r="D3" s="16">
        <v>85.05435</v>
      </c>
      <c r="E3" s="16">
        <v>86.8649</v>
      </c>
      <c r="F3" s="16">
        <v>84.58717</v>
      </c>
      <c r="G3" s="16">
        <v>86.97737</v>
      </c>
      <c r="H3" s="16">
        <v>72.37889</v>
      </c>
      <c r="I3" s="16">
        <v>84.72274</v>
      </c>
      <c r="J3" s="16">
        <v>92.36299</v>
      </c>
      <c r="K3" s="16">
        <v>88.94595</v>
      </c>
      <c r="L3" s="16">
        <v>89.18548</v>
      </c>
      <c r="M3" s="16">
        <v>80.16002</v>
      </c>
      <c r="N3" s="16">
        <v>86.86767</v>
      </c>
      <c r="O3" s="16">
        <v>81.30538</v>
      </c>
      <c r="P3" s="16">
        <v>87.10638</v>
      </c>
      <c r="Q3" s="16">
        <v>94.1322</v>
      </c>
      <c r="R3" s="16">
        <v>75.36736</v>
      </c>
      <c r="S3" s="16">
        <v>87.73317</v>
      </c>
      <c r="T3" s="16">
        <v>84.11698</v>
      </c>
    </row>
    <row r="4">
      <c r="A4" s="15">
        <v>45841.0</v>
      </c>
      <c r="B4" s="16">
        <v>92.96089</v>
      </c>
      <c r="C4" s="16">
        <v>90.46471</v>
      </c>
      <c r="D4" s="16">
        <v>85.78686</v>
      </c>
      <c r="E4" s="16">
        <v>93.25382</v>
      </c>
      <c r="F4" s="16">
        <v>88.90811</v>
      </c>
      <c r="G4" s="16">
        <v>90.78638</v>
      </c>
      <c r="H4" s="16">
        <v>78.44689</v>
      </c>
      <c r="I4" s="16">
        <v>82.61629</v>
      </c>
      <c r="J4" s="16">
        <v>91.9993</v>
      </c>
      <c r="K4" s="16">
        <v>92.92709</v>
      </c>
      <c r="L4" s="16">
        <v>86.87669</v>
      </c>
      <c r="M4" s="16">
        <v>84.99336</v>
      </c>
      <c r="N4" s="16">
        <v>89.07355</v>
      </c>
      <c r="O4" s="16">
        <v>82.54299</v>
      </c>
      <c r="P4" s="16">
        <v>90.64593</v>
      </c>
      <c r="Q4" s="16">
        <v>91.82838</v>
      </c>
      <c r="R4" s="16">
        <v>81.93827</v>
      </c>
      <c r="S4" s="16">
        <v>88.12055</v>
      </c>
      <c r="T4" s="16">
        <v>81.57585</v>
      </c>
    </row>
    <row r="5">
      <c r="A5" s="15">
        <v>45842.0</v>
      </c>
      <c r="B5" s="16">
        <v>90.9336</v>
      </c>
      <c r="C5" s="16">
        <v>88.7712</v>
      </c>
      <c r="D5" s="16">
        <v>84.90009</v>
      </c>
      <c r="E5" s="16">
        <v>91.79686</v>
      </c>
      <c r="F5" s="16">
        <v>87.08965</v>
      </c>
      <c r="G5" s="16">
        <v>87.47605</v>
      </c>
      <c r="H5" s="16">
        <v>84.4183</v>
      </c>
      <c r="I5" s="16">
        <v>83.69406</v>
      </c>
      <c r="J5" s="16">
        <v>87.06963</v>
      </c>
      <c r="K5" s="16">
        <v>93.05548</v>
      </c>
      <c r="L5" s="16">
        <v>83.28236</v>
      </c>
      <c r="M5" s="16">
        <v>90.20184</v>
      </c>
      <c r="N5" s="16">
        <v>88.94787</v>
      </c>
      <c r="O5" s="16">
        <v>83.2182</v>
      </c>
      <c r="P5" s="16">
        <v>94.17789</v>
      </c>
      <c r="Q5" s="16">
        <v>95.83964</v>
      </c>
      <c r="R5" s="16">
        <v>76.22184</v>
      </c>
      <c r="S5" s="16">
        <v>87.01128</v>
      </c>
      <c r="T5" s="16">
        <v>79.10413</v>
      </c>
    </row>
    <row r="6">
      <c r="A6" s="15">
        <v>45843.0</v>
      </c>
      <c r="B6" s="16">
        <v>83.99752</v>
      </c>
      <c r="C6" s="16">
        <v>83.25107</v>
      </c>
      <c r="D6" s="16">
        <v>81.12482</v>
      </c>
      <c r="E6" s="16">
        <v>89.31287</v>
      </c>
      <c r="F6" s="16">
        <v>81.18354</v>
      </c>
      <c r="G6" s="16">
        <v>86.2941</v>
      </c>
      <c r="H6" s="16">
        <v>84.37192</v>
      </c>
      <c r="I6" s="16">
        <v>84.18777</v>
      </c>
      <c r="J6" s="16">
        <v>84.32874</v>
      </c>
      <c r="K6" s="16">
        <v>90.87864</v>
      </c>
      <c r="L6" s="16">
        <v>84.51007</v>
      </c>
      <c r="M6" s="16">
        <v>89.66314</v>
      </c>
      <c r="N6" s="16">
        <v>89.58972</v>
      </c>
      <c r="O6" s="16">
        <v>81.21594</v>
      </c>
      <c r="P6" s="16">
        <v>90.61737</v>
      </c>
      <c r="Q6" s="16">
        <v>95.47744</v>
      </c>
      <c r="R6" s="16">
        <v>75.44617</v>
      </c>
      <c r="S6" s="16">
        <v>85.16544</v>
      </c>
      <c r="T6" s="16">
        <v>83.96091</v>
      </c>
    </row>
    <row r="7">
      <c r="A7" s="15">
        <v>45844.0</v>
      </c>
      <c r="B7" s="16">
        <v>84.04358</v>
      </c>
      <c r="C7" s="16">
        <v>88.40825</v>
      </c>
      <c r="D7" s="16">
        <v>85.51084</v>
      </c>
      <c r="E7" s="16">
        <v>91.53539</v>
      </c>
      <c r="F7" s="16">
        <v>81.69877</v>
      </c>
      <c r="G7" s="16">
        <v>88.16103</v>
      </c>
      <c r="H7" s="16">
        <v>78.52036</v>
      </c>
      <c r="I7" s="16">
        <v>87.15484</v>
      </c>
      <c r="J7" s="16">
        <v>85.91322</v>
      </c>
      <c r="K7" s="16">
        <v>86.97635</v>
      </c>
      <c r="L7" s="16">
        <v>82.41612</v>
      </c>
      <c r="M7" s="16">
        <v>84.39436</v>
      </c>
      <c r="N7" s="16">
        <v>78.92613</v>
      </c>
      <c r="O7" s="16">
        <v>85.11707</v>
      </c>
      <c r="P7" s="16">
        <v>89.01132</v>
      </c>
      <c r="Q7" s="16">
        <v>97.60932</v>
      </c>
      <c r="R7" s="16">
        <v>78.70689</v>
      </c>
      <c r="S7" s="16">
        <v>83.29378</v>
      </c>
      <c r="T7" s="16">
        <v>82.17153</v>
      </c>
    </row>
    <row r="8">
      <c r="A8" s="15">
        <v>45845.0</v>
      </c>
      <c r="B8" s="16">
        <v>75.06732</v>
      </c>
      <c r="C8" s="16">
        <v>79.84696</v>
      </c>
      <c r="D8" s="16">
        <v>82.84716</v>
      </c>
      <c r="E8" s="16">
        <v>86.85257</v>
      </c>
      <c r="F8" s="16">
        <v>78.56069</v>
      </c>
      <c r="G8" s="16">
        <v>85.38192</v>
      </c>
      <c r="H8" s="16">
        <v>75.90623</v>
      </c>
      <c r="I8" s="16">
        <v>83.98806</v>
      </c>
      <c r="J8" s="16">
        <v>78.7376</v>
      </c>
      <c r="K8" s="16">
        <v>78.68583</v>
      </c>
      <c r="L8" s="16">
        <v>82.65049</v>
      </c>
      <c r="M8" s="16">
        <v>78.90719</v>
      </c>
      <c r="N8" s="16">
        <v>82.79176</v>
      </c>
      <c r="O8" s="16">
        <v>85.18183</v>
      </c>
      <c r="P8" s="16">
        <v>88.20794</v>
      </c>
      <c r="Q8" s="16">
        <v>97.42785</v>
      </c>
      <c r="R8" s="16">
        <v>80.08474</v>
      </c>
      <c r="S8" s="16">
        <v>83.14479</v>
      </c>
      <c r="T8" s="16">
        <v>81.23632</v>
      </c>
    </row>
    <row r="9">
      <c r="A9" s="15">
        <v>45846.0</v>
      </c>
      <c r="B9" s="16">
        <v>87.04284</v>
      </c>
      <c r="C9" s="16">
        <v>100.56714</v>
      </c>
      <c r="D9" s="16">
        <v>90.34795</v>
      </c>
      <c r="E9" s="16">
        <v>100.21903</v>
      </c>
      <c r="F9" s="16">
        <v>87.56955</v>
      </c>
      <c r="G9" s="16">
        <v>89.71938</v>
      </c>
      <c r="H9" s="16">
        <v>84.26703</v>
      </c>
      <c r="I9" s="16">
        <v>87.19313</v>
      </c>
      <c r="J9" s="16">
        <v>75.71746</v>
      </c>
      <c r="K9" s="16">
        <v>81.525</v>
      </c>
      <c r="L9" s="16">
        <v>84.01318</v>
      </c>
      <c r="M9" s="16">
        <v>86.42223</v>
      </c>
      <c r="N9" s="16">
        <v>85.24881</v>
      </c>
      <c r="O9" s="16">
        <v>89.97997</v>
      </c>
      <c r="P9" s="16">
        <v>90.62484</v>
      </c>
      <c r="Q9" s="16">
        <v>92.57693</v>
      </c>
      <c r="R9" s="16">
        <v>78.89465</v>
      </c>
      <c r="S9" s="16">
        <v>88.7004</v>
      </c>
      <c r="T9" s="16">
        <v>87.74986</v>
      </c>
    </row>
    <row r="10">
      <c r="A10" s="15">
        <v>45847.0</v>
      </c>
      <c r="B10" s="16">
        <v>84.01829</v>
      </c>
      <c r="C10" s="16">
        <v>93.89588</v>
      </c>
      <c r="D10" s="16">
        <v>85.89543</v>
      </c>
      <c r="E10" s="16">
        <v>93.70112</v>
      </c>
      <c r="F10" s="16">
        <v>90.53076</v>
      </c>
      <c r="G10" s="16">
        <v>91.05586</v>
      </c>
      <c r="H10" s="16">
        <v>89.79766</v>
      </c>
      <c r="I10" s="16">
        <v>87.42324</v>
      </c>
      <c r="J10" s="16">
        <v>84.3578</v>
      </c>
      <c r="K10" s="16">
        <v>80.74182</v>
      </c>
      <c r="L10" s="16">
        <v>82.17456</v>
      </c>
      <c r="M10" s="16">
        <v>90.15134</v>
      </c>
      <c r="N10" s="16">
        <v>83.46364</v>
      </c>
      <c r="O10" s="16">
        <v>95.78473</v>
      </c>
      <c r="P10" s="16">
        <v>92.57906</v>
      </c>
      <c r="Q10" s="16">
        <v>92.8526</v>
      </c>
      <c r="R10" s="16">
        <v>83.95288</v>
      </c>
      <c r="S10" s="16">
        <v>87.52736</v>
      </c>
      <c r="T10" s="16">
        <v>87.4536</v>
      </c>
    </row>
    <row r="11">
      <c r="A11" s="15">
        <v>45848.0</v>
      </c>
      <c r="B11" s="16">
        <v>87.05875</v>
      </c>
      <c r="C11" s="16">
        <v>97.66975</v>
      </c>
      <c r="D11" s="16">
        <v>88.02332</v>
      </c>
      <c r="E11" s="16">
        <v>96.16789</v>
      </c>
      <c r="F11" s="16">
        <v>91.90095</v>
      </c>
      <c r="G11" s="16">
        <v>90.28062</v>
      </c>
      <c r="H11" s="16">
        <v>89.56905</v>
      </c>
      <c r="I11" s="16">
        <v>87.09276</v>
      </c>
      <c r="J11" s="16">
        <v>86.99659</v>
      </c>
      <c r="K11" s="16">
        <v>79.57738</v>
      </c>
      <c r="L11" s="16">
        <v>83.6149</v>
      </c>
      <c r="M11" s="16">
        <v>85.3782</v>
      </c>
      <c r="N11" s="16">
        <v>80.39344</v>
      </c>
      <c r="O11" s="16">
        <v>93.15245</v>
      </c>
      <c r="P11" s="16">
        <v>88.04743</v>
      </c>
      <c r="Q11" s="16">
        <v>93.27795</v>
      </c>
      <c r="R11" s="16">
        <v>83.79832</v>
      </c>
      <c r="S11" s="16">
        <v>86.15293</v>
      </c>
      <c r="T11" s="16">
        <v>86.44475</v>
      </c>
    </row>
    <row r="12">
      <c r="A12" s="15">
        <v>45849.0</v>
      </c>
      <c r="B12" s="16">
        <v>84.04807</v>
      </c>
      <c r="C12" s="16">
        <v>90.29105</v>
      </c>
      <c r="D12" s="16">
        <v>85.93986</v>
      </c>
      <c r="E12" s="16">
        <v>96.01547</v>
      </c>
      <c r="F12" s="16">
        <v>86.03346</v>
      </c>
      <c r="G12" s="16">
        <v>90.00639</v>
      </c>
      <c r="H12" s="16">
        <v>83.71346</v>
      </c>
      <c r="I12" s="16">
        <v>87.4195</v>
      </c>
      <c r="J12" s="16">
        <v>80.2578</v>
      </c>
      <c r="K12" s="16">
        <v>84.19546</v>
      </c>
      <c r="L12" s="16">
        <v>87.1787</v>
      </c>
      <c r="M12" s="16">
        <v>87.47093</v>
      </c>
      <c r="N12" s="16">
        <v>83.77858</v>
      </c>
      <c r="O12" s="16">
        <v>91.77614</v>
      </c>
      <c r="P12" s="16">
        <v>92.29475</v>
      </c>
      <c r="Q12" s="16">
        <v>95.78661</v>
      </c>
      <c r="R12" s="16">
        <v>85.69499</v>
      </c>
      <c r="S12" s="16">
        <v>84.609</v>
      </c>
      <c r="T12" s="16">
        <v>88.5777</v>
      </c>
    </row>
    <row r="13">
      <c r="A13" s="15">
        <v>45850.0</v>
      </c>
      <c r="B13" s="16">
        <v>88.04445</v>
      </c>
      <c r="C13" s="16">
        <v>94.78863</v>
      </c>
      <c r="D13" s="16">
        <v>85.35298</v>
      </c>
      <c r="E13" s="16">
        <v>97.08828</v>
      </c>
      <c r="F13" s="16">
        <v>88.87612</v>
      </c>
      <c r="G13" s="16">
        <v>85.65434</v>
      </c>
      <c r="H13" s="16">
        <v>82.96066</v>
      </c>
      <c r="I13" s="16">
        <v>88.76612</v>
      </c>
      <c r="J13" s="16">
        <v>81.21436</v>
      </c>
      <c r="K13" s="16">
        <v>87.60916</v>
      </c>
      <c r="L13" s="16">
        <v>84.80383</v>
      </c>
      <c r="M13" s="16">
        <v>88.4736</v>
      </c>
      <c r="N13" s="16">
        <v>85.87368</v>
      </c>
      <c r="O13" s="16">
        <v>93.6152</v>
      </c>
      <c r="P13" s="16">
        <v>94.08832</v>
      </c>
      <c r="Q13" s="16">
        <v>91.58671</v>
      </c>
      <c r="R13" s="16">
        <v>81.17445</v>
      </c>
      <c r="S13" s="16">
        <v>86.55139</v>
      </c>
      <c r="T13" s="16">
        <v>93.17148</v>
      </c>
    </row>
    <row r="14">
      <c r="A14" s="15">
        <v>45851.0</v>
      </c>
      <c r="B14" s="16">
        <v>86.02696</v>
      </c>
      <c r="C14" s="16">
        <v>86.9944</v>
      </c>
      <c r="D14" s="16">
        <v>79.92088</v>
      </c>
      <c r="E14" s="16">
        <v>94.77869</v>
      </c>
      <c r="F14" s="16">
        <v>90.07765</v>
      </c>
      <c r="G14" s="16">
        <v>79.29033</v>
      </c>
      <c r="H14" s="16">
        <v>86.73346</v>
      </c>
      <c r="I14" s="16">
        <v>90.09714</v>
      </c>
      <c r="J14" s="16">
        <v>85.69605</v>
      </c>
      <c r="K14" s="16">
        <v>89.79616</v>
      </c>
      <c r="L14" s="16">
        <v>85.73794</v>
      </c>
      <c r="M14" s="16">
        <v>90.53855</v>
      </c>
      <c r="N14" s="16">
        <v>85.54268</v>
      </c>
      <c r="O14" s="16">
        <v>86.96605</v>
      </c>
      <c r="P14" s="16">
        <v>92.05159</v>
      </c>
      <c r="Q14" s="16">
        <v>84.78688</v>
      </c>
      <c r="R14" s="16">
        <v>85.95159</v>
      </c>
      <c r="S14" s="16">
        <v>86.83962</v>
      </c>
      <c r="T14" s="16">
        <v>90.7938</v>
      </c>
    </row>
    <row r="15">
      <c r="A15" s="15">
        <v>45852.0</v>
      </c>
      <c r="B15" s="16">
        <v>89.93161</v>
      </c>
      <c r="C15" s="16">
        <v>91.60183</v>
      </c>
      <c r="D15" s="16">
        <v>78.10092</v>
      </c>
      <c r="E15" s="16">
        <v>97.1155</v>
      </c>
      <c r="F15" s="16">
        <v>92.1455</v>
      </c>
      <c r="G15" s="16">
        <v>84.56002</v>
      </c>
      <c r="H15" s="16">
        <v>90.54275</v>
      </c>
      <c r="I15" s="16">
        <v>92.88507</v>
      </c>
      <c r="J15" s="16">
        <v>86.17553</v>
      </c>
      <c r="K15" s="16">
        <v>92.72642</v>
      </c>
      <c r="L15" s="16">
        <v>87.42508</v>
      </c>
      <c r="M15" s="16">
        <v>87.6103</v>
      </c>
      <c r="N15" s="16">
        <v>86.51138</v>
      </c>
      <c r="O15" s="16">
        <v>92.47496</v>
      </c>
      <c r="P15" s="16">
        <v>96.99838</v>
      </c>
      <c r="Q15" s="16">
        <v>87.37868</v>
      </c>
      <c r="R15" s="16">
        <v>79.29183</v>
      </c>
      <c r="S15" s="16">
        <v>89.75724</v>
      </c>
      <c r="T15" s="16">
        <v>92.67455</v>
      </c>
    </row>
    <row r="16">
      <c r="A16" s="15">
        <v>45853.0</v>
      </c>
      <c r="B16" s="16">
        <v>90.90741</v>
      </c>
      <c r="C16" s="16">
        <v>89.49545</v>
      </c>
      <c r="D16" s="16">
        <v>82.24626</v>
      </c>
      <c r="E16" s="16">
        <v>95.74591</v>
      </c>
      <c r="F16" s="16">
        <v>87.07975</v>
      </c>
      <c r="G16" s="16">
        <v>89.54789</v>
      </c>
      <c r="H16" s="16">
        <v>88.51044</v>
      </c>
      <c r="I16" s="16">
        <v>94.7857</v>
      </c>
      <c r="J16" s="16">
        <v>87.98244</v>
      </c>
      <c r="K16" s="16">
        <v>91.82907</v>
      </c>
      <c r="L16" s="16">
        <v>85.59484</v>
      </c>
      <c r="M16" s="16">
        <v>88.05415</v>
      </c>
      <c r="N16" s="16">
        <v>88.46052</v>
      </c>
      <c r="O16" s="16">
        <v>91.39116</v>
      </c>
      <c r="P16" s="16">
        <v>93.12809</v>
      </c>
      <c r="Q16" s="16">
        <v>88.56951</v>
      </c>
      <c r="R16" s="16">
        <v>82.27107</v>
      </c>
      <c r="S16" s="16">
        <v>88.70436</v>
      </c>
      <c r="T16" s="16">
        <v>89.06904</v>
      </c>
    </row>
    <row r="17">
      <c r="A17" s="15">
        <v>45854.0</v>
      </c>
      <c r="B17" s="16">
        <v>90.948</v>
      </c>
      <c r="C17" s="16">
        <v>90.46083</v>
      </c>
      <c r="D17" s="16">
        <v>80.34166</v>
      </c>
      <c r="E17" s="16">
        <v>94.31215</v>
      </c>
      <c r="F17" s="16">
        <v>84.4068</v>
      </c>
      <c r="G17" s="16">
        <v>92.1825</v>
      </c>
      <c r="H17" s="16">
        <v>88.39117</v>
      </c>
      <c r="I17" s="16">
        <v>89.64477</v>
      </c>
      <c r="J17" s="16">
        <v>88.42759</v>
      </c>
      <c r="K17" s="16">
        <v>94.47629</v>
      </c>
      <c r="L17" s="16">
        <v>85.19205</v>
      </c>
      <c r="M17" s="16">
        <v>92.45825</v>
      </c>
      <c r="N17" s="16">
        <v>91.66333</v>
      </c>
      <c r="O17" s="16">
        <v>95.49545</v>
      </c>
      <c r="P17" s="16">
        <v>84.90127</v>
      </c>
      <c r="Q17" s="16">
        <v>92.76787</v>
      </c>
      <c r="R17" s="16">
        <v>87.52329</v>
      </c>
      <c r="S17" s="16">
        <v>88.80328</v>
      </c>
      <c r="T17" s="16">
        <v>90.25381</v>
      </c>
    </row>
    <row r="18">
      <c r="A18" s="15">
        <v>45855.0</v>
      </c>
      <c r="B18" s="16">
        <v>88.92923</v>
      </c>
      <c r="C18" s="16">
        <v>86.12384</v>
      </c>
      <c r="D18" s="16">
        <v>83.58677</v>
      </c>
      <c r="E18" s="16">
        <v>91.41503</v>
      </c>
      <c r="F18" s="16">
        <v>82.29816</v>
      </c>
      <c r="G18" s="16">
        <v>91.96506</v>
      </c>
      <c r="H18" s="16">
        <v>87.42077</v>
      </c>
      <c r="I18" s="16">
        <v>85.40692</v>
      </c>
      <c r="J18" s="16">
        <v>86.55289</v>
      </c>
      <c r="K18" s="16">
        <v>93.81349</v>
      </c>
      <c r="L18" s="16">
        <v>87.9253</v>
      </c>
      <c r="M18" s="16">
        <v>92.42777</v>
      </c>
      <c r="N18" s="16">
        <v>92.61408</v>
      </c>
      <c r="O18" s="16">
        <v>92.62699</v>
      </c>
      <c r="P18" s="16">
        <v>86.57588</v>
      </c>
      <c r="Q18" s="16">
        <v>93.93852</v>
      </c>
      <c r="R18" s="16">
        <v>88.81948</v>
      </c>
      <c r="S18" s="16">
        <v>87.18166</v>
      </c>
      <c r="T18" s="16">
        <v>91.95733</v>
      </c>
    </row>
    <row r="19">
      <c r="A19" s="15">
        <v>45856.0</v>
      </c>
      <c r="B19" s="16">
        <v>88.90661</v>
      </c>
      <c r="C19" s="16">
        <v>88.62161</v>
      </c>
      <c r="D19" s="16">
        <v>82.15602</v>
      </c>
      <c r="E19" s="16">
        <v>92.12072</v>
      </c>
      <c r="F19" s="16">
        <v>87.5076</v>
      </c>
      <c r="G19" s="16">
        <v>93.85901</v>
      </c>
      <c r="H19" s="16">
        <v>88.61239</v>
      </c>
      <c r="I19" s="16">
        <v>85.03322</v>
      </c>
      <c r="J19" s="16">
        <v>89.44139</v>
      </c>
      <c r="K19" s="16">
        <v>94.1466</v>
      </c>
      <c r="L19" s="16">
        <v>89.43608</v>
      </c>
      <c r="M19" s="16">
        <v>89.98114</v>
      </c>
      <c r="N19" s="16">
        <v>90.98595</v>
      </c>
      <c r="O19" s="16">
        <v>89.40343</v>
      </c>
      <c r="P19" s="16">
        <v>87.18805</v>
      </c>
      <c r="Q19" s="16">
        <v>93.9438</v>
      </c>
      <c r="R19" s="16">
        <v>90.88552</v>
      </c>
      <c r="S19" s="16">
        <v>85.74048</v>
      </c>
      <c r="T19" s="16">
        <v>91.44469</v>
      </c>
    </row>
    <row r="20">
      <c r="A20" s="15">
        <v>45857.0</v>
      </c>
      <c r="B20" s="16">
        <v>88.88268</v>
      </c>
      <c r="C20" s="16">
        <v>90.11328</v>
      </c>
      <c r="D20" s="16">
        <v>85.80879</v>
      </c>
      <c r="E20" s="16">
        <v>95.23504</v>
      </c>
      <c r="F20" s="16">
        <v>87.69771</v>
      </c>
      <c r="G20" s="16">
        <v>93.53904</v>
      </c>
      <c r="H20" s="16">
        <v>88.52321</v>
      </c>
      <c r="I20" s="16">
        <v>86.66792</v>
      </c>
      <c r="J20" s="16">
        <v>89.1637</v>
      </c>
      <c r="K20" s="16">
        <v>92.5887</v>
      </c>
      <c r="L20" s="16">
        <v>89.31311</v>
      </c>
      <c r="M20" s="16">
        <v>89.97318</v>
      </c>
      <c r="N20" s="16">
        <v>85.23872</v>
      </c>
      <c r="O20" s="16">
        <v>86.15696</v>
      </c>
      <c r="P20" s="16">
        <v>91.54236</v>
      </c>
      <c r="Q20" s="16">
        <v>96.61313</v>
      </c>
      <c r="R20" s="16">
        <v>90.62136</v>
      </c>
      <c r="S20" s="16">
        <v>86.26346</v>
      </c>
      <c r="T20" s="16">
        <v>95.33201</v>
      </c>
    </row>
    <row r="21">
      <c r="A21" s="15">
        <v>45858.0</v>
      </c>
      <c r="B21" s="16">
        <v>89.85831</v>
      </c>
      <c r="C21" s="16">
        <v>94.24694</v>
      </c>
      <c r="D21" s="16">
        <v>86.43807</v>
      </c>
      <c r="E21" s="16">
        <v>97.85601</v>
      </c>
      <c r="F21" s="16">
        <v>87.92389</v>
      </c>
      <c r="G21" s="16">
        <v>91.20371</v>
      </c>
      <c r="H21" s="16">
        <v>86.26936</v>
      </c>
      <c r="I21" s="16">
        <v>83.47358</v>
      </c>
      <c r="J21" s="16">
        <v>89.14836</v>
      </c>
      <c r="K21" s="16">
        <v>94.93991</v>
      </c>
      <c r="L21" s="16">
        <v>87.40796</v>
      </c>
      <c r="M21" s="16">
        <v>89.59478</v>
      </c>
      <c r="N21" s="16">
        <v>81.43386</v>
      </c>
      <c r="O21" s="16">
        <v>89.585</v>
      </c>
      <c r="P21" s="16">
        <v>93.54038</v>
      </c>
      <c r="Q21" s="16">
        <v>92.21743</v>
      </c>
      <c r="R21" s="16">
        <v>88.97402</v>
      </c>
      <c r="S21" s="16">
        <v>83.69342</v>
      </c>
      <c r="T21" s="16">
        <v>89.37179</v>
      </c>
    </row>
    <row r="22">
      <c r="A22" s="15">
        <v>45859.0</v>
      </c>
      <c r="B22" s="16">
        <v>88.81753</v>
      </c>
      <c r="C22" s="16">
        <v>90.9747</v>
      </c>
      <c r="D22" s="16">
        <v>88.35988</v>
      </c>
      <c r="E22" s="16">
        <v>97.77243</v>
      </c>
      <c r="F22" s="16">
        <v>85.22039</v>
      </c>
      <c r="G22" s="16">
        <v>88.9135</v>
      </c>
      <c r="H22" s="16">
        <v>86.58996</v>
      </c>
      <c r="I22" s="16">
        <v>85.78624</v>
      </c>
      <c r="J22" s="16">
        <v>88.09272</v>
      </c>
      <c r="K22" s="16">
        <v>93.13527</v>
      </c>
      <c r="L22" s="16">
        <v>86.33714</v>
      </c>
      <c r="M22" s="16">
        <v>92.5936</v>
      </c>
      <c r="N22" s="16">
        <v>81.47152</v>
      </c>
      <c r="O22" s="16">
        <v>91.02292</v>
      </c>
      <c r="P22" s="16">
        <v>92.69435</v>
      </c>
      <c r="Q22" s="16">
        <v>88.00946</v>
      </c>
      <c r="R22" s="16">
        <v>90.39402</v>
      </c>
      <c r="S22" s="16">
        <v>81.90466</v>
      </c>
      <c r="T22" s="16">
        <v>96.71676</v>
      </c>
    </row>
    <row r="23">
      <c r="A23" s="15">
        <v>45860.0</v>
      </c>
      <c r="B23" s="16">
        <v>83.84436</v>
      </c>
      <c r="C23" s="16">
        <v>85.89195</v>
      </c>
      <c r="D23" s="16">
        <v>84.99747</v>
      </c>
      <c r="E23" s="16">
        <v>91.09476</v>
      </c>
      <c r="F23" s="16">
        <v>82.94029</v>
      </c>
      <c r="G23" s="16">
        <v>92.58188</v>
      </c>
      <c r="H23" s="16">
        <v>86.20403</v>
      </c>
      <c r="I23" s="16">
        <v>85.37803</v>
      </c>
      <c r="J23" s="16">
        <v>86.9073</v>
      </c>
      <c r="K23" s="16">
        <v>91.0624</v>
      </c>
      <c r="L23" s="16">
        <v>84.14626</v>
      </c>
      <c r="M23" s="16">
        <v>91.19793</v>
      </c>
      <c r="N23" s="16">
        <v>81.13893</v>
      </c>
      <c r="O23" s="16">
        <v>89.31165</v>
      </c>
      <c r="P23" s="16">
        <v>89.13021</v>
      </c>
      <c r="Q23" s="16">
        <v>87.39852</v>
      </c>
      <c r="R23" s="16">
        <v>87.41179</v>
      </c>
      <c r="S23" s="16">
        <v>81.43712</v>
      </c>
      <c r="T23" s="16">
        <v>94.03997</v>
      </c>
    </row>
    <row r="24">
      <c r="A24" s="15">
        <v>45861.0</v>
      </c>
      <c r="B24" s="16">
        <v>87.03232</v>
      </c>
      <c r="C24" s="16">
        <v>90.99183</v>
      </c>
      <c r="D24" s="16">
        <v>91.35431</v>
      </c>
      <c r="E24" s="16">
        <v>95.80357</v>
      </c>
      <c r="F24" s="16">
        <v>84.18702</v>
      </c>
      <c r="G24" s="16">
        <v>90.47046</v>
      </c>
      <c r="H24" s="16">
        <v>85.02705</v>
      </c>
      <c r="I24" s="16">
        <v>85.92067</v>
      </c>
      <c r="J24" s="16">
        <v>88.49329</v>
      </c>
      <c r="K24" s="16">
        <v>89.56575</v>
      </c>
      <c r="L24" s="16">
        <v>78.54695</v>
      </c>
      <c r="M24" s="16">
        <v>91.35192</v>
      </c>
      <c r="N24" s="16">
        <v>81.56258</v>
      </c>
      <c r="O24" s="16">
        <v>92.1499</v>
      </c>
      <c r="P24" s="16">
        <v>91.24982</v>
      </c>
      <c r="Q24" s="16">
        <v>90.45153</v>
      </c>
      <c r="R24" s="16">
        <v>83.62242</v>
      </c>
      <c r="S24" s="16">
        <v>80.86596</v>
      </c>
      <c r="T24" s="16">
        <v>92.26691</v>
      </c>
    </row>
    <row r="25">
      <c r="A25" s="15">
        <v>45862.0</v>
      </c>
      <c r="B25" s="16">
        <v>88.03911</v>
      </c>
      <c r="C25" s="16">
        <v>92.02395</v>
      </c>
      <c r="D25" s="16">
        <v>93.25036</v>
      </c>
      <c r="E25" s="16">
        <v>90.39048</v>
      </c>
      <c r="F25" s="16">
        <v>88.52386</v>
      </c>
      <c r="G25" s="16">
        <v>87.80345</v>
      </c>
      <c r="H25" s="16">
        <v>80.81123</v>
      </c>
      <c r="I25" s="16">
        <v>90.15141</v>
      </c>
      <c r="J25" s="16">
        <v>89.22884</v>
      </c>
      <c r="K25" s="16">
        <v>85.91949</v>
      </c>
      <c r="L25" s="16">
        <v>80.52449</v>
      </c>
      <c r="M25" s="16">
        <v>88.80997</v>
      </c>
      <c r="N25" s="16">
        <v>86.24207</v>
      </c>
      <c r="O25" s="16">
        <v>95.66192</v>
      </c>
      <c r="P25" s="16">
        <v>90.67249</v>
      </c>
      <c r="Q25" s="16">
        <v>93.82949</v>
      </c>
      <c r="R25" s="16">
        <v>82.20568</v>
      </c>
      <c r="S25" s="16">
        <v>84.63923</v>
      </c>
      <c r="T25" s="16">
        <v>87.4926</v>
      </c>
    </row>
    <row r="26">
      <c r="A26" s="15">
        <v>45863.0</v>
      </c>
      <c r="B26" s="16">
        <v>89.02515</v>
      </c>
      <c r="C26" s="16">
        <v>92.36191</v>
      </c>
      <c r="D26" s="16">
        <v>92.96928</v>
      </c>
      <c r="E26" s="16">
        <v>84.36426</v>
      </c>
      <c r="F26" s="16">
        <v>84.8475</v>
      </c>
      <c r="G26" s="16">
        <v>86.94151</v>
      </c>
      <c r="H26" s="16">
        <v>80.81349</v>
      </c>
      <c r="I26" s="16">
        <v>92.9961</v>
      </c>
      <c r="J26" s="16">
        <v>87.50505</v>
      </c>
      <c r="K26" s="16">
        <v>85.18879</v>
      </c>
      <c r="L26" s="16">
        <v>83.72673</v>
      </c>
      <c r="M26" s="16">
        <v>86.51792</v>
      </c>
      <c r="N26" s="16">
        <v>86.34472</v>
      </c>
      <c r="O26" s="16">
        <v>93.90564</v>
      </c>
      <c r="P26" s="16">
        <v>91.47611</v>
      </c>
      <c r="Q26" s="16">
        <v>95.25772</v>
      </c>
      <c r="R26" s="16">
        <v>83.9556</v>
      </c>
      <c r="S26" s="16">
        <v>85.70621</v>
      </c>
      <c r="T26" s="16">
        <v>89.30339</v>
      </c>
    </row>
    <row r="27">
      <c r="A27" s="15">
        <v>45864.0</v>
      </c>
      <c r="B27" s="16">
        <v>89.17489</v>
      </c>
      <c r="C27" s="16">
        <v>88.29095</v>
      </c>
      <c r="D27" s="16">
        <v>93.08778</v>
      </c>
      <c r="E27" s="16">
        <v>79.99267</v>
      </c>
      <c r="F27" s="16">
        <v>87.19206</v>
      </c>
      <c r="G27" s="16">
        <v>89.99804</v>
      </c>
      <c r="H27" s="16">
        <v>87.69728</v>
      </c>
      <c r="I27" s="16">
        <v>94.30927</v>
      </c>
      <c r="J27" s="16">
        <v>93.72969</v>
      </c>
      <c r="K27" s="16">
        <v>89.40572</v>
      </c>
      <c r="L27" s="16">
        <v>88.41494</v>
      </c>
      <c r="M27" s="16">
        <v>89.69028</v>
      </c>
      <c r="N27" s="16">
        <v>89.19728</v>
      </c>
      <c r="O27" s="16">
        <v>94.88473</v>
      </c>
      <c r="P27" s="16">
        <v>90.54861</v>
      </c>
      <c r="Q27" s="16">
        <v>98.16234</v>
      </c>
      <c r="R27" s="16">
        <v>87.76695</v>
      </c>
      <c r="S27" s="16">
        <v>86.25679</v>
      </c>
      <c r="T27" s="16">
        <v>88.89331</v>
      </c>
    </row>
    <row r="28">
      <c r="A28" s="15">
        <v>45865.0</v>
      </c>
      <c r="B28" s="16">
        <v>91.16874</v>
      </c>
      <c r="C28" s="16">
        <v>90.20938</v>
      </c>
      <c r="D28" s="16">
        <v>93.04008</v>
      </c>
      <c r="E28" s="16">
        <v>81.34007</v>
      </c>
      <c r="F28" s="16">
        <v>88.73187</v>
      </c>
      <c r="G28" s="16">
        <v>88.45826</v>
      </c>
      <c r="H28" s="16">
        <v>89.3009</v>
      </c>
      <c r="I28" s="16">
        <v>91.20236</v>
      </c>
      <c r="J28" s="16">
        <v>95.65599</v>
      </c>
      <c r="K28" s="16">
        <v>92.69789</v>
      </c>
      <c r="L28" s="16">
        <v>88.12206</v>
      </c>
      <c r="M28" s="16">
        <v>89.25166</v>
      </c>
      <c r="N28" s="16">
        <v>93.11807</v>
      </c>
      <c r="O28" s="16">
        <v>95.7751</v>
      </c>
      <c r="P28" s="16">
        <v>93.03226</v>
      </c>
      <c r="Q28" s="16">
        <v>97.73113</v>
      </c>
      <c r="R28" s="16">
        <v>86.15454</v>
      </c>
      <c r="S28" s="16">
        <v>87.12025</v>
      </c>
      <c r="T28" s="16">
        <v>89.78845</v>
      </c>
    </row>
    <row r="29">
      <c r="A29" s="15">
        <v>45866.0</v>
      </c>
      <c r="B29" s="16">
        <v>91.17478</v>
      </c>
      <c r="C29" s="16">
        <v>83.57666</v>
      </c>
      <c r="D29" s="16">
        <v>96.22868</v>
      </c>
      <c r="E29" s="16">
        <v>88.28254</v>
      </c>
      <c r="F29" s="16">
        <v>91.27512</v>
      </c>
      <c r="G29" s="16">
        <v>88.71211</v>
      </c>
      <c r="H29" s="16">
        <v>88.04537</v>
      </c>
      <c r="I29" s="16">
        <v>87.39609</v>
      </c>
      <c r="J29" s="16">
        <v>96.059</v>
      </c>
      <c r="K29" s="16">
        <v>96.53069</v>
      </c>
      <c r="L29" s="16">
        <v>91.07455</v>
      </c>
      <c r="M29" s="16">
        <v>90.62039</v>
      </c>
      <c r="N29" s="16">
        <v>92.27632</v>
      </c>
      <c r="O29" s="16">
        <v>95.12656</v>
      </c>
      <c r="P29" s="16">
        <v>94.36</v>
      </c>
      <c r="Q29" s="16">
        <v>96.80755</v>
      </c>
      <c r="R29" s="16">
        <v>83.16346</v>
      </c>
      <c r="S29" s="16">
        <v>91.5819</v>
      </c>
      <c r="T29" s="16">
        <v>91.11787</v>
      </c>
    </row>
    <row r="30">
      <c r="A30" s="15">
        <v>45867.0</v>
      </c>
      <c r="B30" s="16">
        <v>89.11179</v>
      </c>
      <c r="C30" s="16">
        <v>84.56665</v>
      </c>
      <c r="D30" s="16">
        <v>92.16233</v>
      </c>
      <c r="E30" s="16">
        <v>89.00809</v>
      </c>
      <c r="F30" s="16">
        <v>84.81777</v>
      </c>
      <c r="G30" s="16">
        <v>91.00283</v>
      </c>
      <c r="H30" s="16">
        <v>88.96962</v>
      </c>
      <c r="I30" s="16">
        <v>88.34205</v>
      </c>
      <c r="J30" s="16">
        <v>91.31544</v>
      </c>
      <c r="K30" s="16">
        <v>94.96383</v>
      </c>
      <c r="L30" s="16">
        <v>87.76006</v>
      </c>
      <c r="M30" s="16">
        <v>90.52875</v>
      </c>
      <c r="N30" s="16">
        <v>88.2534</v>
      </c>
      <c r="O30" s="16">
        <v>89.88537</v>
      </c>
      <c r="P30" s="16">
        <v>91.58257</v>
      </c>
      <c r="Q30" s="16">
        <v>98.26306</v>
      </c>
      <c r="R30" s="16">
        <v>85.42333</v>
      </c>
      <c r="S30" s="16">
        <v>90.44234</v>
      </c>
      <c r="T30" s="16">
        <v>91.47646</v>
      </c>
    </row>
    <row r="31">
      <c r="A31" s="15">
        <v>45868.0</v>
      </c>
      <c r="B31" s="16">
        <v>87.99288</v>
      </c>
      <c r="C31" s="16">
        <v>86.47754</v>
      </c>
      <c r="D31" s="16">
        <v>91.50335</v>
      </c>
      <c r="E31" s="16">
        <v>88.77665</v>
      </c>
      <c r="F31" s="16">
        <v>86.98186</v>
      </c>
      <c r="G31" s="16">
        <v>89.94205</v>
      </c>
      <c r="H31" s="16">
        <v>86.85906</v>
      </c>
      <c r="I31" s="16">
        <v>85.58516</v>
      </c>
      <c r="J31" s="16">
        <v>84.95608</v>
      </c>
      <c r="K31" s="16">
        <v>91.76903</v>
      </c>
      <c r="L31" s="16">
        <v>87.35972</v>
      </c>
      <c r="M31" s="16">
        <v>92.74708</v>
      </c>
      <c r="N31" s="16">
        <v>86.45512</v>
      </c>
      <c r="O31" s="16">
        <v>92.70332</v>
      </c>
      <c r="P31" s="16">
        <v>92.23252</v>
      </c>
      <c r="Q31" s="16">
        <v>95.65553</v>
      </c>
      <c r="R31" s="16">
        <v>86.9909</v>
      </c>
      <c r="S31" s="16">
        <v>86.5629</v>
      </c>
      <c r="T31" s="16">
        <v>95.43018</v>
      </c>
    </row>
    <row r="32">
      <c r="A32" s="15">
        <v>45869.0</v>
      </c>
      <c r="B32" s="16">
        <v>71.81436</v>
      </c>
      <c r="C32" s="16">
        <v>72.66068</v>
      </c>
      <c r="D32" s="16">
        <v>81.07048</v>
      </c>
      <c r="E32" s="16">
        <v>76.1686</v>
      </c>
      <c r="F32" s="16">
        <v>79.34065</v>
      </c>
      <c r="G32" s="16">
        <v>80.87756</v>
      </c>
      <c r="H32" s="16">
        <v>79.53151</v>
      </c>
      <c r="I32" s="16">
        <v>84.80389</v>
      </c>
      <c r="J32" s="16">
        <v>77.69622</v>
      </c>
      <c r="K32" s="16">
        <v>91.40724</v>
      </c>
      <c r="L32" s="16">
        <v>91.28575</v>
      </c>
      <c r="M32" s="16">
        <v>90.53465</v>
      </c>
      <c r="N32" s="16">
        <v>83.15855</v>
      </c>
      <c r="O32" s="16">
        <v>95.20354</v>
      </c>
      <c r="P32" s="16">
        <v>95.17556</v>
      </c>
      <c r="Q32" s="16">
        <v>95.71249</v>
      </c>
      <c r="R32" s="16">
        <v>87.10312</v>
      </c>
      <c r="S32" s="16">
        <v>80.85021</v>
      </c>
      <c r="T32" s="16">
        <v>91.88784</v>
      </c>
    </row>
    <row r="33">
      <c r="A33" s="15">
        <v>45870.0</v>
      </c>
      <c r="B33" s="16">
        <v>79.85955</v>
      </c>
      <c r="C33" s="16">
        <v>89.39169</v>
      </c>
      <c r="D33" s="16">
        <v>97.29275</v>
      </c>
      <c r="E33" s="16">
        <v>82.96679</v>
      </c>
      <c r="F33" s="16">
        <v>83.26332</v>
      </c>
      <c r="G33" s="16">
        <v>84.3014</v>
      </c>
      <c r="H33" s="16">
        <v>82.43329</v>
      </c>
      <c r="I33" s="16">
        <v>84.08083</v>
      </c>
      <c r="J33" s="16">
        <v>78.07029</v>
      </c>
      <c r="K33" s="16">
        <v>88.82534</v>
      </c>
      <c r="L33" s="16">
        <v>86.89846</v>
      </c>
      <c r="M33" s="16">
        <v>86.6744</v>
      </c>
      <c r="N33" s="16">
        <v>83.22044</v>
      </c>
      <c r="O33" s="16">
        <v>94.74754</v>
      </c>
      <c r="P33" s="16">
        <v>95.70746</v>
      </c>
      <c r="Q33" s="16">
        <v>89.42945</v>
      </c>
      <c r="R33" s="16">
        <v>83.82411</v>
      </c>
      <c r="S33" s="16">
        <v>87.18686</v>
      </c>
      <c r="T33" s="16">
        <v>94.02743</v>
      </c>
    </row>
    <row r="34">
      <c r="A34" s="15">
        <v>45871.0</v>
      </c>
      <c r="B34" s="16">
        <v>83.9399</v>
      </c>
      <c r="C34" s="16">
        <v>91.12006</v>
      </c>
      <c r="D34" s="16">
        <v>99.19555</v>
      </c>
      <c r="E34" s="16">
        <v>86.69104</v>
      </c>
      <c r="F34" s="16">
        <v>83.62188</v>
      </c>
      <c r="G34" s="16">
        <v>89.84735</v>
      </c>
      <c r="H34" s="16">
        <v>81.66661</v>
      </c>
      <c r="I34" s="16">
        <v>87.01481</v>
      </c>
      <c r="J34" s="16">
        <v>78.19495</v>
      </c>
      <c r="K34" s="16">
        <v>91.25474</v>
      </c>
      <c r="L34" s="16">
        <v>88.10398</v>
      </c>
      <c r="M34" s="16">
        <v>85.78956</v>
      </c>
      <c r="N34" s="16">
        <v>85.44158</v>
      </c>
      <c r="O34" s="16">
        <v>92.23498</v>
      </c>
      <c r="P34" s="16">
        <v>87.24586</v>
      </c>
      <c r="Q34" s="16">
        <v>89.95197</v>
      </c>
      <c r="R34" s="16">
        <v>84.37287</v>
      </c>
      <c r="S34" s="16">
        <v>81.8536</v>
      </c>
      <c r="T34" s="16">
        <v>91.22537</v>
      </c>
    </row>
    <row r="35">
      <c r="A35" s="15">
        <v>45872.0</v>
      </c>
      <c r="B35" s="16">
        <v>88.04844</v>
      </c>
      <c r="C35" s="16">
        <v>89.13696</v>
      </c>
      <c r="D35" s="16">
        <v>99.98924</v>
      </c>
      <c r="E35" s="16">
        <v>86.59131</v>
      </c>
      <c r="F35" s="16">
        <v>88.19067</v>
      </c>
      <c r="G35" s="16">
        <v>93.96061</v>
      </c>
      <c r="H35" s="16">
        <v>85.68934</v>
      </c>
      <c r="I35" s="16">
        <v>90.61653</v>
      </c>
      <c r="J35" s="16">
        <v>84.43192</v>
      </c>
      <c r="K35" s="16">
        <v>93.91067</v>
      </c>
      <c r="L35" s="16">
        <v>90.72067</v>
      </c>
      <c r="M35" s="16">
        <v>89.80562</v>
      </c>
      <c r="N35" s="16">
        <v>82.67586</v>
      </c>
      <c r="O35" s="16">
        <v>87.70757</v>
      </c>
      <c r="P35" s="16">
        <v>96.60225</v>
      </c>
      <c r="Q35" s="16">
        <v>97.733</v>
      </c>
      <c r="R35" s="16">
        <v>86.52476</v>
      </c>
      <c r="S35" s="16">
        <v>81.69809</v>
      </c>
      <c r="T35" s="16">
        <v>92.36518</v>
      </c>
    </row>
    <row r="36">
      <c r="A36" s="15">
        <v>45873.0</v>
      </c>
      <c r="B36" s="16">
        <v>88.94701</v>
      </c>
      <c r="C36" s="16">
        <v>86.69319</v>
      </c>
      <c r="D36" s="16">
        <v>93.95675</v>
      </c>
      <c r="E36" s="16">
        <v>88.26071</v>
      </c>
      <c r="F36" s="16">
        <v>89.29635</v>
      </c>
      <c r="G36" s="16">
        <v>96.06883</v>
      </c>
      <c r="H36" s="16">
        <v>88.19149</v>
      </c>
      <c r="I36" s="16">
        <v>93.5355</v>
      </c>
      <c r="J36" s="16">
        <v>88.83796</v>
      </c>
      <c r="K36" s="16">
        <v>97.70247</v>
      </c>
      <c r="L36" s="16">
        <v>94.04685</v>
      </c>
      <c r="M36" s="16">
        <v>91.68444</v>
      </c>
      <c r="N36" s="16">
        <v>88.20895</v>
      </c>
      <c r="O36" s="16">
        <v>90.48831</v>
      </c>
      <c r="P36" s="16">
        <v>96.8548</v>
      </c>
      <c r="Q36" s="16">
        <v>92.66013</v>
      </c>
      <c r="R36" s="16">
        <v>84.48675</v>
      </c>
      <c r="S36" s="16">
        <v>83.70594</v>
      </c>
      <c r="T36" s="16">
        <v>91.28613</v>
      </c>
    </row>
    <row r="37">
      <c r="A37" s="15">
        <v>45874.0</v>
      </c>
      <c r="B37" s="16">
        <v>87.85573</v>
      </c>
      <c r="C37" s="16">
        <v>85.12797</v>
      </c>
      <c r="D37" s="16">
        <v>90.7516</v>
      </c>
      <c r="E37" s="16">
        <v>89.26224</v>
      </c>
      <c r="F37" s="16">
        <v>88.71435</v>
      </c>
      <c r="G37" s="16">
        <v>94.8619</v>
      </c>
      <c r="H37" s="16">
        <v>86.92155</v>
      </c>
      <c r="I37" s="16">
        <v>95.37488</v>
      </c>
      <c r="J37" s="16">
        <v>93.1814</v>
      </c>
      <c r="K37" s="16">
        <v>99.25823</v>
      </c>
      <c r="L37" s="16">
        <v>96.60513</v>
      </c>
      <c r="M37" s="16">
        <v>91.08451</v>
      </c>
      <c r="N37" s="16">
        <v>90.90641</v>
      </c>
      <c r="O37" s="16">
        <v>93.09091</v>
      </c>
      <c r="P37" s="16">
        <v>87.66344</v>
      </c>
      <c r="Q37" s="16">
        <v>91.83978</v>
      </c>
      <c r="R37" s="16">
        <v>91.86173</v>
      </c>
      <c r="S37" s="16">
        <v>89.61174</v>
      </c>
      <c r="T37" s="16">
        <v>95.34594</v>
      </c>
    </row>
    <row r="38">
      <c r="A38" s="15">
        <v>45875.0</v>
      </c>
      <c r="B38" s="16">
        <v>83.8004</v>
      </c>
      <c r="C38" s="16">
        <v>84.20969</v>
      </c>
      <c r="D38" s="16">
        <v>86.75951</v>
      </c>
      <c r="E38" s="16">
        <v>87.52366</v>
      </c>
      <c r="F38" s="16">
        <v>85.72296</v>
      </c>
      <c r="G38" s="16">
        <v>90.89831</v>
      </c>
      <c r="H38" s="16">
        <v>83.94393</v>
      </c>
      <c r="I38" s="16">
        <v>90.98249</v>
      </c>
      <c r="J38" s="16">
        <v>88.57646</v>
      </c>
      <c r="K38" s="16">
        <v>96.47628</v>
      </c>
      <c r="L38" s="16">
        <v>94.68378</v>
      </c>
      <c r="M38" s="16">
        <v>90.99881</v>
      </c>
      <c r="N38" s="16">
        <v>91.38014</v>
      </c>
      <c r="O38" s="16">
        <v>92.04598</v>
      </c>
      <c r="P38" s="16">
        <v>92.41087</v>
      </c>
      <c r="Q38" s="16">
        <v>88.21934</v>
      </c>
      <c r="R38" s="16">
        <v>86.82428</v>
      </c>
      <c r="S38" s="16">
        <v>87.78952</v>
      </c>
      <c r="T38" s="16">
        <v>94.72063</v>
      </c>
    </row>
    <row r="39">
      <c r="A39" s="15">
        <v>45876.0</v>
      </c>
      <c r="B39" s="16">
        <v>83.74912</v>
      </c>
      <c r="C39" s="16">
        <v>87.20402</v>
      </c>
      <c r="D39" s="16">
        <v>90.07838</v>
      </c>
      <c r="E39" s="16">
        <v>88.31242</v>
      </c>
      <c r="F39" s="16">
        <v>82.90762</v>
      </c>
      <c r="G39" s="16">
        <v>94.2753</v>
      </c>
      <c r="H39" s="16">
        <v>79.16941</v>
      </c>
      <c r="I39" s="16">
        <v>84.31181</v>
      </c>
      <c r="J39" s="16">
        <v>85.59579</v>
      </c>
      <c r="K39" s="16">
        <v>89.61712</v>
      </c>
      <c r="L39" s="16">
        <v>98.10587</v>
      </c>
      <c r="M39" s="16">
        <v>93.48794</v>
      </c>
      <c r="N39" s="16">
        <v>88.93767</v>
      </c>
      <c r="O39" s="16">
        <v>92.74838</v>
      </c>
      <c r="P39" s="16">
        <v>92.29977</v>
      </c>
      <c r="Q39" s="16">
        <v>86.27519</v>
      </c>
      <c r="R39" s="16">
        <v>87.11265</v>
      </c>
      <c r="S39" s="16">
        <v>89.59944</v>
      </c>
      <c r="T39" s="16">
        <v>89.55644</v>
      </c>
    </row>
    <row r="40">
      <c r="A40" s="15">
        <v>45877.0</v>
      </c>
      <c r="B40" s="16">
        <v>79.87808</v>
      </c>
      <c r="C40" s="16">
        <v>84.32708</v>
      </c>
      <c r="D40" s="16">
        <v>87.9195</v>
      </c>
      <c r="E40" s="16">
        <v>86.45601</v>
      </c>
      <c r="F40" s="16">
        <v>81.71194</v>
      </c>
      <c r="G40" s="16">
        <v>86.9027</v>
      </c>
      <c r="H40" s="16">
        <v>81.36085</v>
      </c>
      <c r="I40" s="16">
        <v>80.65654</v>
      </c>
      <c r="J40" s="16">
        <v>81.41652</v>
      </c>
      <c r="K40" s="16">
        <v>95.32614</v>
      </c>
      <c r="L40" s="16">
        <v>97.44359</v>
      </c>
      <c r="M40" s="16">
        <v>91.1537</v>
      </c>
      <c r="N40" s="16">
        <v>89.91974</v>
      </c>
      <c r="O40" s="16">
        <v>91.21513</v>
      </c>
      <c r="P40" s="16">
        <v>93.13344</v>
      </c>
      <c r="Q40" s="16">
        <v>85.17715</v>
      </c>
      <c r="R40" s="16">
        <v>88.70982</v>
      </c>
      <c r="S40" s="16">
        <v>94.5287</v>
      </c>
      <c r="T40" s="16">
        <v>87.78396</v>
      </c>
    </row>
    <row r="41">
      <c r="A41" s="15">
        <v>45878.0</v>
      </c>
      <c r="B41" s="16">
        <v>72.87301</v>
      </c>
      <c r="C41" s="16">
        <v>78.34839</v>
      </c>
      <c r="D41" s="16">
        <v>84.61246</v>
      </c>
      <c r="E41" s="16">
        <v>83.0711</v>
      </c>
      <c r="F41" s="16">
        <v>81.25565</v>
      </c>
      <c r="G41" s="16">
        <v>82.23879</v>
      </c>
      <c r="H41" s="16">
        <v>79.15317</v>
      </c>
      <c r="I41" s="16">
        <v>78.4834</v>
      </c>
      <c r="J41" s="16">
        <v>79.62473</v>
      </c>
      <c r="K41" s="16">
        <v>94.60886</v>
      </c>
      <c r="L41" s="16">
        <v>97.91092</v>
      </c>
      <c r="M41" s="16">
        <v>87.06052</v>
      </c>
      <c r="N41" s="16">
        <v>91.2637</v>
      </c>
      <c r="O41" s="16">
        <v>92.29098</v>
      </c>
      <c r="P41" s="16">
        <v>93.58617</v>
      </c>
      <c r="Q41" s="16">
        <v>88.83617</v>
      </c>
      <c r="R41" s="16">
        <v>82.46201</v>
      </c>
      <c r="S41" s="16">
        <v>91.65542</v>
      </c>
      <c r="T41" s="16">
        <v>91.0882</v>
      </c>
    </row>
    <row r="42">
      <c r="A42" s="15">
        <v>45879.0</v>
      </c>
      <c r="B42" s="16">
        <v>79.8713</v>
      </c>
      <c r="C42" s="16">
        <v>87.67703</v>
      </c>
      <c r="D42" s="16">
        <v>94.83304</v>
      </c>
      <c r="E42" s="16">
        <v>95.23973</v>
      </c>
      <c r="F42" s="16">
        <v>85.88611</v>
      </c>
      <c r="G42" s="16">
        <v>84.78945</v>
      </c>
      <c r="H42" s="16">
        <v>83.627</v>
      </c>
      <c r="I42" s="16">
        <v>81.34221</v>
      </c>
      <c r="J42" s="16">
        <v>79.87876</v>
      </c>
      <c r="K42" s="16">
        <v>91.09073</v>
      </c>
      <c r="L42" s="16">
        <v>98.45523</v>
      </c>
      <c r="M42" s="16">
        <v>82.76323</v>
      </c>
      <c r="N42" s="16">
        <v>90.38639</v>
      </c>
      <c r="O42" s="16">
        <v>91.58142</v>
      </c>
      <c r="P42" s="16">
        <v>90.18749</v>
      </c>
      <c r="Q42" s="16">
        <v>88.16117</v>
      </c>
      <c r="R42" s="16">
        <v>86.59296</v>
      </c>
      <c r="S42" s="16">
        <v>89.04591</v>
      </c>
      <c r="T42" s="16">
        <v>91.41521</v>
      </c>
    </row>
    <row r="43">
      <c r="A43" s="15">
        <v>45880.0</v>
      </c>
      <c r="B43" s="16">
        <v>85.84632</v>
      </c>
      <c r="C43" s="16">
        <v>93.12471</v>
      </c>
      <c r="D43" s="16">
        <v>96.59145</v>
      </c>
      <c r="E43" s="16">
        <v>100.93284</v>
      </c>
      <c r="F43" s="16">
        <v>90.65885</v>
      </c>
      <c r="G43" s="16">
        <v>88.85288</v>
      </c>
      <c r="H43" s="16">
        <v>87.14907</v>
      </c>
      <c r="I43" s="16">
        <v>77.06074</v>
      </c>
      <c r="J43" s="16">
        <v>84.2423</v>
      </c>
      <c r="K43" s="16">
        <v>96.55928</v>
      </c>
      <c r="L43" s="16">
        <v>100.83058</v>
      </c>
      <c r="M43" s="16">
        <v>82.4745</v>
      </c>
      <c r="N43" s="16">
        <v>91.04323</v>
      </c>
      <c r="O43" s="16">
        <v>92.39378</v>
      </c>
      <c r="P43" s="16">
        <v>92.62212</v>
      </c>
      <c r="Q43" s="16">
        <v>85.91948</v>
      </c>
      <c r="R43" s="16">
        <v>87.42232</v>
      </c>
      <c r="S43" s="16">
        <v>85.43384</v>
      </c>
      <c r="T43" s="16">
        <v>91.655</v>
      </c>
    </row>
    <row r="44">
      <c r="A44" s="15">
        <v>45881.0</v>
      </c>
      <c r="B44" s="16">
        <v>87.86225</v>
      </c>
      <c r="C44" s="16">
        <v>91.64792</v>
      </c>
      <c r="D44" s="16">
        <v>97.57708</v>
      </c>
      <c r="E44" s="16">
        <v>94.63593</v>
      </c>
      <c r="F44" s="16">
        <v>90.504</v>
      </c>
      <c r="G44" s="16">
        <v>91.90786</v>
      </c>
      <c r="H44" s="16">
        <v>87.80165</v>
      </c>
      <c r="I44" s="16">
        <v>82.2867</v>
      </c>
      <c r="J44" s="16">
        <v>86.49586</v>
      </c>
      <c r="K44" s="16">
        <v>91.06615</v>
      </c>
      <c r="L44" s="16">
        <v>100.7628</v>
      </c>
      <c r="M44" s="16">
        <v>84.50512</v>
      </c>
      <c r="N44" s="16">
        <v>90.1244</v>
      </c>
      <c r="O44" s="16">
        <v>88.8708</v>
      </c>
      <c r="P44" s="16">
        <v>89.03319</v>
      </c>
      <c r="Q44" s="16">
        <v>81.78366</v>
      </c>
      <c r="R44" s="16">
        <v>87.1095</v>
      </c>
      <c r="S44" s="16">
        <v>81.87434</v>
      </c>
      <c r="T44" s="16">
        <v>91.08408</v>
      </c>
    </row>
    <row r="45">
      <c r="A45" s="15">
        <v>45882.0</v>
      </c>
      <c r="B45" s="16">
        <v>87.89204</v>
      </c>
      <c r="C45" s="16">
        <v>86.52459</v>
      </c>
      <c r="D45" s="16">
        <v>99.29759</v>
      </c>
      <c r="E45" s="16">
        <v>91.77504</v>
      </c>
      <c r="F45" s="16">
        <v>88.99724</v>
      </c>
      <c r="G45" s="16">
        <v>92.0386</v>
      </c>
      <c r="H45" s="16">
        <v>84.00855</v>
      </c>
      <c r="I45" s="16">
        <v>83.55215</v>
      </c>
      <c r="J45" s="16">
        <v>89.36399</v>
      </c>
      <c r="K45" s="16">
        <v>87.23786</v>
      </c>
      <c r="L45" s="16">
        <v>94.66621</v>
      </c>
      <c r="M45" s="16">
        <v>86.6151</v>
      </c>
      <c r="N45" s="16">
        <v>91.37816</v>
      </c>
      <c r="O45" s="16">
        <v>97.4844</v>
      </c>
      <c r="P45" s="16">
        <v>95.9271</v>
      </c>
      <c r="Q45" s="16">
        <v>87.38259</v>
      </c>
      <c r="R45" s="16">
        <v>89.95947</v>
      </c>
      <c r="S45" s="16">
        <v>86.04764</v>
      </c>
      <c r="T45" s="16">
        <v>88.76042</v>
      </c>
    </row>
    <row r="46">
      <c r="A46" s="15">
        <v>45883.0</v>
      </c>
      <c r="B46" s="16">
        <v>87.04848</v>
      </c>
      <c r="C46" s="16">
        <v>85.22974</v>
      </c>
      <c r="D46" s="16">
        <v>95.83427</v>
      </c>
      <c r="E46" s="16">
        <v>88.94129</v>
      </c>
      <c r="F46" s="16">
        <v>83.3114</v>
      </c>
      <c r="G46" s="16">
        <v>93.42758</v>
      </c>
      <c r="H46" s="16">
        <v>87.34395</v>
      </c>
      <c r="I46" s="16">
        <v>80.29585</v>
      </c>
      <c r="J46" s="16">
        <v>89.9637</v>
      </c>
      <c r="K46" s="16">
        <v>86.65785</v>
      </c>
      <c r="L46" s="16">
        <v>103.12923</v>
      </c>
      <c r="M46" s="16">
        <v>85.83623</v>
      </c>
      <c r="N46" s="16">
        <v>94.20043</v>
      </c>
      <c r="O46" s="16">
        <v>99.63876</v>
      </c>
      <c r="P46" s="16">
        <v>96.51124</v>
      </c>
      <c r="Q46" s="16">
        <v>90.63546</v>
      </c>
      <c r="R46" s="16">
        <v>88.86256</v>
      </c>
      <c r="S46" s="16">
        <v>83.19305</v>
      </c>
      <c r="T46" s="16">
        <v>88.23411</v>
      </c>
    </row>
    <row r="47">
      <c r="A47" s="15">
        <v>45884.0</v>
      </c>
      <c r="B47" s="16">
        <v>88.15841</v>
      </c>
      <c r="C47" s="16">
        <v>82.89126</v>
      </c>
      <c r="D47" s="16">
        <v>99.30341</v>
      </c>
      <c r="E47" s="16">
        <v>89.22404</v>
      </c>
      <c r="F47" s="16">
        <v>86.99271</v>
      </c>
      <c r="G47" s="16">
        <v>90.32869</v>
      </c>
      <c r="H47" s="16">
        <v>88.7112</v>
      </c>
      <c r="I47" s="16">
        <v>81.61712</v>
      </c>
      <c r="J47" s="16">
        <v>89.90261</v>
      </c>
      <c r="K47" s="16">
        <v>87.23543</v>
      </c>
      <c r="L47" s="16">
        <v>100.41686</v>
      </c>
      <c r="M47" s="16">
        <v>85.84939</v>
      </c>
      <c r="N47" s="16">
        <v>93.28324</v>
      </c>
      <c r="O47" s="16">
        <v>94.65967</v>
      </c>
      <c r="P47" s="16">
        <v>98.17114</v>
      </c>
      <c r="Q47" s="16">
        <v>90.5911</v>
      </c>
      <c r="R47" s="16">
        <v>86.05897</v>
      </c>
      <c r="S47" s="16">
        <v>83.93548</v>
      </c>
      <c r="T47" s="16">
        <v>89.21572</v>
      </c>
    </row>
    <row r="48">
      <c r="A48" s="15">
        <v>45885.0</v>
      </c>
      <c r="B48" s="16">
        <v>91.23632</v>
      </c>
      <c r="C48" s="16">
        <v>85.46821</v>
      </c>
      <c r="D48" s="16">
        <v>98.60396</v>
      </c>
      <c r="E48" s="16">
        <v>95.99686</v>
      </c>
      <c r="F48" s="16">
        <v>87.83099</v>
      </c>
      <c r="G48" s="16">
        <v>92.69903</v>
      </c>
      <c r="H48" s="16">
        <v>93.39449</v>
      </c>
      <c r="I48" s="16">
        <v>83.86267</v>
      </c>
      <c r="J48" s="16">
        <v>93.22956</v>
      </c>
      <c r="K48" s="16">
        <v>87.01931</v>
      </c>
      <c r="L48" s="16">
        <v>102.74508</v>
      </c>
      <c r="M48" s="16">
        <v>87.18686</v>
      </c>
      <c r="N48" s="16">
        <v>91.19465</v>
      </c>
      <c r="O48" s="16">
        <v>91.67993</v>
      </c>
      <c r="P48" s="16">
        <v>92.17901</v>
      </c>
      <c r="Q48" s="16">
        <v>89.31916</v>
      </c>
      <c r="R48" s="16">
        <v>81.39029</v>
      </c>
      <c r="S48" s="16">
        <v>89.64349</v>
      </c>
      <c r="T48" s="16">
        <v>92.41933</v>
      </c>
    </row>
    <row r="49">
      <c r="A49" s="15">
        <v>45886.0</v>
      </c>
      <c r="B49" s="16">
        <v>91.20582</v>
      </c>
      <c r="C49" s="16">
        <v>85.95193</v>
      </c>
      <c r="D49" s="16">
        <v>94.50559</v>
      </c>
      <c r="E49" s="16">
        <v>97.76942</v>
      </c>
      <c r="F49" s="16">
        <v>90.42243</v>
      </c>
      <c r="G49" s="16">
        <v>91.73537</v>
      </c>
      <c r="H49" s="16">
        <v>89.74269</v>
      </c>
      <c r="I49" s="16">
        <v>86.59853</v>
      </c>
      <c r="J49" s="16">
        <v>92.9228</v>
      </c>
      <c r="K49" s="16">
        <v>91.09465</v>
      </c>
      <c r="L49" s="16">
        <v>102.8591</v>
      </c>
      <c r="M49" s="16">
        <v>87.64575</v>
      </c>
      <c r="N49" s="16">
        <v>90.01732</v>
      </c>
      <c r="O49" s="16">
        <v>91.54147</v>
      </c>
      <c r="P49" s="16">
        <v>91.95172</v>
      </c>
      <c r="Q49" s="16">
        <v>92.11515</v>
      </c>
      <c r="R49" s="16">
        <v>72.12307</v>
      </c>
      <c r="S49" s="16">
        <v>90.55345</v>
      </c>
      <c r="T49" s="16">
        <v>92.83548</v>
      </c>
    </row>
    <row r="50">
      <c r="A50" s="15">
        <v>45887.0</v>
      </c>
      <c r="B50" s="16">
        <v>89.08166</v>
      </c>
      <c r="C50" s="16">
        <v>82.69978</v>
      </c>
      <c r="D50" s="16">
        <v>94.85571</v>
      </c>
      <c r="E50" s="16">
        <v>98.29453</v>
      </c>
      <c r="F50" s="16">
        <v>90.8282</v>
      </c>
      <c r="G50" s="16">
        <v>91.18727</v>
      </c>
      <c r="H50" s="16">
        <v>89.72937</v>
      </c>
      <c r="I50" s="16">
        <v>86.8951</v>
      </c>
      <c r="J50" s="16">
        <v>91.62008</v>
      </c>
      <c r="K50" s="16">
        <v>88.63208</v>
      </c>
      <c r="L50" s="16">
        <v>103.48047</v>
      </c>
      <c r="M50" s="16">
        <v>86.76842</v>
      </c>
      <c r="N50" s="16">
        <v>89.29192</v>
      </c>
      <c r="O50" s="16">
        <v>92.81816</v>
      </c>
      <c r="P50" s="16">
        <v>93.77144</v>
      </c>
      <c r="Q50" s="16">
        <v>90.5597</v>
      </c>
      <c r="R50" s="16">
        <v>70.23073</v>
      </c>
      <c r="S50" s="16">
        <v>94.41214</v>
      </c>
      <c r="T50" s="16">
        <v>94.36844</v>
      </c>
    </row>
    <row r="51">
      <c r="A51" s="15">
        <v>45888.0</v>
      </c>
      <c r="B51" s="16">
        <v>88.97453</v>
      </c>
      <c r="C51" s="16">
        <v>85.51203</v>
      </c>
      <c r="D51" s="16">
        <v>96.94358</v>
      </c>
      <c r="E51" s="16">
        <v>99.65016</v>
      </c>
      <c r="F51" s="16">
        <v>90.22183</v>
      </c>
      <c r="G51" s="16">
        <v>90.94699</v>
      </c>
      <c r="H51" s="16">
        <v>88.09701</v>
      </c>
      <c r="I51" s="16">
        <v>84.8378</v>
      </c>
      <c r="J51" s="16">
        <v>90.15452</v>
      </c>
      <c r="K51" s="16">
        <v>87.91824</v>
      </c>
      <c r="L51" s="16">
        <v>99.05165</v>
      </c>
      <c r="M51" s="16">
        <v>86.62998</v>
      </c>
      <c r="N51" s="16">
        <v>89.68381</v>
      </c>
      <c r="O51" s="16">
        <v>94.52485</v>
      </c>
      <c r="P51" s="16">
        <v>94.93582</v>
      </c>
      <c r="Q51" s="16">
        <v>89.39676</v>
      </c>
      <c r="R51" s="16">
        <v>75.50684</v>
      </c>
      <c r="S51" s="16">
        <v>91.57711</v>
      </c>
      <c r="T51" s="16">
        <v>90.86631</v>
      </c>
    </row>
    <row r="52">
      <c r="A52" s="15">
        <v>45889.0</v>
      </c>
      <c r="B52" s="16">
        <v>87.97075</v>
      </c>
      <c r="C52" s="16">
        <v>87.45904</v>
      </c>
      <c r="D52" s="16">
        <v>93.88032</v>
      </c>
      <c r="E52" s="16">
        <v>95.52364</v>
      </c>
      <c r="F52" s="16">
        <v>83.09994</v>
      </c>
      <c r="G52" s="16">
        <v>87.28641</v>
      </c>
      <c r="H52" s="16">
        <v>86.85813</v>
      </c>
      <c r="I52" s="16">
        <v>84.71945</v>
      </c>
      <c r="J52" s="16">
        <v>86.33478</v>
      </c>
      <c r="K52" s="16">
        <v>86.35998</v>
      </c>
      <c r="L52" s="16">
        <v>96.1498</v>
      </c>
      <c r="M52" s="16">
        <v>89.46061</v>
      </c>
      <c r="N52" s="16">
        <v>89.89623</v>
      </c>
      <c r="O52" s="16">
        <v>92.39064</v>
      </c>
      <c r="P52" s="16">
        <v>95.83791</v>
      </c>
      <c r="Q52" s="16">
        <v>85.20142</v>
      </c>
      <c r="R52" s="16">
        <v>80.05993</v>
      </c>
      <c r="S52" s="16">
        <v>87.61033</v>
      </c>
      <c r="T52" s="16">
        <v>90.82796</v>
      </c>
    </row>
    <row r="53">
      <c r="A53" s="15">
        <v>45890.0</v>
      </c>
      <c r="B53" s="16">
        <v>82.05889</v>
      </c>
      <c r="C53" s="16">
        <v>75.91723</v>
      </c>
      <c r="D53" s="16">
        <v>88.20734</v>
      </c>
      <c r="E53" s="16">
        <v>95.67774</v>
      </c>
      <c r="F53" s="16">
        <v>82.04485</v>
      </c>
      <c r="G53" s="16">
        <v>88.73822</v>
      </c>
      <c r="H53" s="16">
        <v>84.31923</v>
      </c>
      <c r="I53" s="16">
        <v>85.00485</v>
      </c>
      <c r="J53" s="16">
        <v>86.86553</v>
      </c>
      <c r="K53" s="16">
        <v>87.84628</v>
      </c>
      <c r="L53" s="16">
        <v>92.40931</v>
      </c>
      <c r="M53" s="16">
        <v>87.60316</v>
      </c>
      <c r="N53" s="16">
        <v>85.76318</v>
      </c>
      <c r="O53" s="16">
        <v>90.7892</v>
      </c>
      <c r="P53" s="16">
        <v>92.29675</v>
      </c>
      <c r="Q53" s="16">
        <v>83.70377</v>
      </c>
      <c r="R53" s="16">
        <v>83.12536</v>
      </c>
      <c r="S53" s="16">
        <v>88.34062</v>
      </c>
      <c r="T53" s="16">
        <v>89.2508</v>
      </c>
    </row>
    <row r="54">
      <c r="A54" s="15">
        <v>45891.0</v>
      </c>
      <c r="B54" s="16">
        <v>79.17007</v>
      </c>
      <c r="C54" s="16">
        <v>78.38701</v>
      </c>
      <c r="D54" s="16">
        <v>87.29231</v>
      </c>
      <c r="E54" s="16">
        <v>87.37384</v>
      </c>
      <c r="F54" s="16">
        <v>84.96095</v>
      </c>
      <c r="G54" s="16">
        <v>90.3409</v>
      </c>
      <c r="H54" s="16">
        <v>84.77488</v>
      </c>
      <c r="I54" s="16">
        <v>80.9444</v>
      </c>
      <c r="J54" s="16">
        <v>90.79122</v>
      </c>
      <c r="K54" s="16">
        <v>88.09733</v>
      </c>
      <c r="L54" s="16">
        <v>94.24393</v>
      </c>
      <c r="M54" s="16">
        <v>84.03041</v>
      </c>
      <c r="N54" s="16">
        <v>85.51125</v>
      </c>
      <c r="O54" s="16">
        <v>89.93811</v>
      </c>
      <c r="P54" s="16">
        <v>91.50214</v>
      </c>
      <c r="Q54" s="16">
        <v>85.63864</v>
      </c>
      <c r="R54" s="16">
        <v>81.54152</v>
      </c>
      <c r="S54" s="16">
        <v>89.78016</v>
      </c>
      <c r="T54" s="16">
        <v>88.01239</v>
      </c>
    </row>
    <row r="55">
      <c r="A55" s="15">
        <v>45892.0</v>
      </c>
      <c r="B55" s="16">
        <v>81.10206</v>
      </c>
      <c r="C55" s="16">
        <v>86.13955</v>
      </c>
      <c r="D55" s="16">
        <v>90.16038</v>
      </c>
      <c r="E55" s="16">
        <v>86.06356</v>
      </c>
      <c r="F55" s="16">
        <v>88.59101</v>
      </c>
      <c r="G55" s="16">
        <v>89.88325</v>
      </c>
      <c r="H55" s="16">
        <v>86.95753</v>
      </c>
      <c r="I55" s="16">
        <v>82.97631</v>
      </c>
      <c r="J55" s="16">
        <v>91.83303</v>
      </c>
      <c r="K55" s="16">
        <v>86.12341</v>
      </c>
      <c r="L55" s="16">
        <v>98.98996</v>
      </c>
      <c r="M55" s="16">
        <v>78.70915</v>
      </c>
      <c r="N55" s="16">
        <v>81.47405</v>
      </c>
      <c r="O55" s="16">
        <v>88.93192</v>
      </c>
      <c r="P55" s="16">
        <v>92.10759</v>
      </c>
      <c r="Q55" s="16">
        <v>79.46652</v>
      </c>
      <c r="R55" s="16">
        <v>82.87625</v>
      </c>
      <c r="S55" s="16">
        <v>89.11484</v>
      </c>
      <c r="T55" s="16">
        <v>87.99551</v>
      </c>
    </row>
    <row r="56">
      <c r="A56" s="15">
        <v>45893.0</v>
      </c>
      <c r="B56" s="16">
        <v>82.11966</v>
      </c>
      <c r="C56" s="16">
        <v>87.7897</v>
      </c>
      <c r="D56" s="16">
        <v>90.99802</v>
      </c>
      <c r="E56" s="16">
        <v>85.99222</v>
      </c>
      <c r="F56" s="16">
        <v>87.71106</v>
      </c>
      <c r="G56" s="16">
        <v>94.02169</v>
      </c>
      <c r="H56" s="16">
        <v>88.4248</v>
      </c>
      <c r="I56" s="16">
        <v>82.58654</v>
      </c>
      <c r="J56" s="16">
        <v>88.28947</v>
      </c>
      <c r="K56" s="16">
        <v>86.68114</v>
      </c>
      <c r="L56" s="16">
        <v>97.34859</v>
      </c>
      <c r="M56" s="16">
        <v>76.96569</v>
      </c>
      <c r="N56" s="16">
        <v>81.31408</v>
      </c>
      <c r="O56" s="16">
        <v>92.86731</v>
      </c>
      <c r="P56" s="16">
        <v>91.81389</v>
      </c>
      <c r="Q56" s="16">
        <v>85.15907</v>
      </c>
      <c r="R56" s="16">
        <v>86.00782</v>
      </c>
      <c r="S56" s="16">
        <v>88.1717</v>
      </c>
      <c r="T56" s="16">
        <v>82.96682</v>
      </c>
    </row>
    <row r="57">
      <c r="A57" s="15">
        <v>45894.0</v>
      </c>
      <c r="B57" s="16">
        <v>84.01993</v>
      </c>
      <c r="C57" s="16">
        <v>89.92922</v>
      </c>
      <c r="D57" s="16">
        <v>85.6986</v>
      </c>
      <c r="E57" s="16">
        <v>93.48049</v>
      </c>
      <c r="F57" s="16">
        <v>93.13833</v>
      </c>
      <c r="G57" s="16">
        <v>93.49259</v>
      </c>
      <c r="H57" s="16">
        <v>88.63985</v>
      </c>
      <c r="I57" s="16">
        <v>85.08161</v>
      </c>
      <c r="J57" s="16">
        <v>84.10518</v>
      </c>
      <c r="K57" s="16">
        <v>82.91228</v>
      </c>
      <c r="L57" s="16">
        <v>95.6823</v>
      </c>
      <c r="M57" s="16">
        <v>80.98212</v>
      </c>
      <c r="N57" s="16">
        <v>82.52972</v>
      </c>
      <c r="O57" s="16">
        <v>89.04413</v>
      </c>
      <c r="P57" s="16">
        <v>91.26814</v>
      </c>
      <c r="Q57" s="16">
        <v>84.92425</v>
      </c>
      <c r="R57" s="16">
        <v>83.72776</v>
      </c>
      <c r="S57" s="16">
        <v>87.16474</v>
      </c>
      <c r="T57" s="16">
        <v>85.42782</v>
      </c>
    </row>
    <row r="58">
      <c r="A58" s="15">
        <v>45895.0</v>
      </c>
      <c r="B58" s="16">
        <v>87.03491</v>
      </c>
      <c r="C58" s="16">
        <v>93.00099</v>
      </c>
      <c r="D58" s="16">
        <v>85.83984</v>
      </c>
      <c r="E58" s="16">
        <v>96.54053</v>
      </c>
      <c r="F58" s="16">
        <v>94.03086</v>
      </c>
      <c r="G58" s="16">
        <v>94.83476</v>
      </c>
      <c r="H58" s="16">
        <v>90.28725</v>
      </c>
      <c r="I58" s="16">
        <v>84.97775</v>
      </c>
      <c r="J58" s="16">
        <v>86.83801</v>
      </c>
      <c r="K58" s="16">
        <v>86.51601</v>
      </c>
      <c r="L58" s="16">
        <v>96.66596</v>
      </c>
      <c r="M58" s="16">
        <v>80.47467</v>
      </c>
      <c r="N58" s="16">
        <v>88.11508</v>
      </c>
      <c r="O58" s="16">
        <v>91.09769</v>
      </c>
      <c r="P58" s="16">
        <v>95.59475</v>
      </c>
      <c r="Q58" s="16">
        <v>86.76478</v>
      </c>
      <c r="R58" s="16">
        <v>85.04514</v>
      </c>
      <c r="S58" s="16">
        <v>87.2532</v>
      </c>
      <c r="T58" s="16">
        <v>87.0693</v>
      </c>
    </row>
    <row r="59">
      <c r="A59" s="15">
        <v>45896.0</v>
      </c>
      <c r="B59" s="16">
        <v>90.15381</v>
      </c>
      <c r="C59" s="16">
        <v>94.79501</v>
      </c>
      <c r="D59" s="16">
        <v>90.24224</v>
      </c>
      <c r="E59" s="16">
        <v>93.3861</v>
      </c>
      <c r="F59" s="16">
        <v>93.86456</v>
      </c>
      <c r="G59" s="16">
        <v>92.18906</v>
      </c>
      <c r="H59" s="16">
        <v>91.02199</v>
      </c>
      <c r="I59" s="16">
        <v>87.29539</v>
      </c>
      <c r="J59" s="16">
        <v>86.53651</v>
      </c>
      <c r="K59" s="16">
        <v>89.55901</v>
      </c>
      <c r="L59" s="16">
        <v>94.99905</v>
      </c>
      <c r="M59" s="16">
        <v>83.06756</v>
      </c>
      <c r="N59" s="16">
        <v>89.10021</v>
      </c>
      <c r="O59" s="16">
        <v>88.42011</v>
      </c>
      <c r="P59" s="16">
        <v>96.24915</v>
      </c>
      <c r="Q59" s="16">
        <v>86.32111</v>
      </c>
      <c r="R59" s="16">
        <v>80.54372</v>
      </c>
      <c r="S59" s="16">
        <v>85.73672</v>
      </c>
      <c r="T59" s="16">
        <v>86.41908</v>
      </c>
    </row>
    <row r="60">
      <c r="A60" s="15">
        <v>45897.0</v>
      </c>
      <c r="B60" s="16">
        <v>90.25915</v>
      </c>
      <c r="C60" s="16">
        <v>91.14886</v>
      </c>
      <c r="D60" s="16">
        <v>89.92861</v>
      </c>
      <c r="E60" s="16">
        <v>92.80627</v>
      </c>
      <c r="F60" s="16">
        <v>94.17583</v>
      </c>
      <c r="G60" s="16">
        <v>86.79688</v>
      </c>
      <c r="H60" s="16">
        <v>91.08605</v>
      </c>
      <c r="I60" s="16">
        <v>88.69905</v>
      </c>
      <c r="J60" s="16">
        <v>87.246</v>
      </c>
      <c r="K60" s="16">
        <v>89.44231</v>
      </c>
      <c r="L60" s="16">
        <v>91.73441</v>
      </c>
      <c r="M60" s="16">
        <v>83.09323</v>
      </c>
      <c r="N60" s="16">
        <v>88.3863</v>
      </c>
      <c r="O60" s="16">
        <v>90.57918</v>
      </c>
      <c r="P60" s="16">
        <v>96.31834</v>
      </c>
      <c r="Q60" s="16">
        <v>89.63339</v>
      </c>
      <c r="R60" s="16">
        <v>82.2118</v>
      </c>
      <c r="S60" s="16">
        <v>85.78787</v>
      </c>
      <c r="T60" s="16">
        <v>84.66044</v>
      </c>
    </row>
    <row r="61">
      <c r="A61" s="15">
        <v>45898.0</v>
      </c>
      <c r="B61" s="16">
        <v>91.22982</v>
      </c>
      <c r="C61" s="16">
        <v>91.53758</v>
      </c>
      <c r="D61" s="16">
        <v>91.67699</v>
      </c>
      <c r="E61" s="16">
        <v>93.81598</v>
      </c>
      <c r="F61" s="16">
        <v>86.79467</v>
      </c>
      <c r="G61" s="16">
        <v>87.57669</v>
      </c>
      <c r="H61" s="16">
        <v>94.81487</v>
      </c>
      <c r="I61" s="16">
        <v>92.13156</v>
      </c>
      <c r="J61" s="16">
        <v>87.6326</v>
      </c>
      <c r="K61" s="16">
        <v>90.72762</v>
      </c>
      <c r="L61" s="16">
        <v>89.91018</v>
      </c>
      <c r="M61" s="16">
        <v>86.25732</v>
      </c>
      <c r="N61" s="16">
        <v>80.74492</v>
      </c>
      <c r="O61" s="16">
        <v>93.36862</v>
      </c>
      <c r="P61" s="16">
        <v>99.3763</v>
      </c>
      <c r="Q61" s="16">
        <v>86.12345</v>
      </c>
      <c r="R61" s="16">
        <v>92.23254</v>
      </c>
      <c r="S61" s="16">
        <v>92.40711</v>
      </c>
      <c r="T61" s="16">
        <v>85.54649</v>
      </c>
    </row>
    <row r="62">
      <c r="A62" s="15">
        <v>45899.0</v>
      </c>
      <c r="B62" s="16">
        <v>91.20361</v>
      </c>
      <c r="C62" s="16">
        <v>92.6356</v>
      </c>
      <c r="D62" s="16">
        <v>91.1282</v>
      </c>
      <c r="E62" s="16">
        <v>92.63046</v>
      </c>
      <c r="F62" s="16">
        <v>85.68827</v>
      </c>
      <c r="G62" s="16">
        <v>82.48453</v>
      </c>
      <c r="H62" s="16">
        <v>89.79655</v>
      </c>
      <c r="I62" s="16">
        <v>88.41591</v>
      </c>
      <c r="J62" s="16">
        <v>86.56756</v>
      </c>
      <c r="K62" s="16">
        <v>91.14743</v>
      </c>
      <c r="L62" s="16">
        <v>89.69686</v>
      </c>
      <c r="M62" s="16">
        <v>88.50395</v>
      </c>
      <c r="N62" s="16">
        <v>84.17663</v>
      </c>
      <c r="O62" s="16">
        <v>84.92402</v>
      </c>
      <c r="P62" s="16">
        <v>94.9099</v>
      </c>
      <c r="Q62" s="16">
        <v>86.10111</v>
      </c>
      <c r="R62" s="16">
        <v>90.87219</v>
      </c>
      <c r="S62" s="16">
        <v>90.16059</v>
      </c>
      <c r="T62" s="16">
        <v>80.19225</v>
      </c>
    </row>
    <row r="63">
      <c r="A63" s="15">
        <v>45900.0</v>
      </c>
      <c r="B63" s="16">
        <v>84.21506</v>
      </c>
      <c r="C63" s="16">
        <v>86.8672</v>
      </c>
      <c r="D63" s="16">
        <v>85.8322</v>
      </c>
      <c r="E63" s="16">
        <v>83.99733</v>
      </c>
      <c r="F63" s="16">
        <v>78.6334</v>
      </c>
      <c r="G63" s="16">
        <v>77.27013</v>
      </c>
      <c r="H63" s="16">
        <v>87.25156</v>
      </c>
      <c r="I63" s="16">
        <v>87.53434</v>
      </c>
      <c r="J63" s="16">
        <v>84.8996</v>
      </c>
      <c r="K63" s="16">
        <v>88.7883</v>
      </c>
      <c r="L63" s="16">
        <v>87.76314</v>
      </c>
      <c r="M63" s="16">
        <v>87.13301</v>
      </c>
      <c r="N63" s="16">
        <v>79.13425</v>
      </c>
      <c r="O63" s="16">
        <v>84.42177</v>
      </c>
      <c r="P63" s="16">
        <v>92.06512</v>
      </c>
      <c r="Q63" s="16">
        <v>83.49486</v>
      </c>
      <c r="R63" s="16">
        <v>92.19726</v>
      </c>
      <c r="S63" s="16">
        <v>92.97183</v>
      </c>
      <c r="T63" s="16">
        <v>79.95475</v>
      </c>
    </row>
    <row r="64">
      <c r="A64" s="15">
        <v>45901.0</v>
      </c>
      <c r="B64" s="16">
        <v>80.79001</v>
      </c>
      <c r="C64" s="16">
        <v>84.39743</v>
      </c>
      <c r="D64" s="16">
        <v>79.09514</v>
      </c>
      <c r="E64" s="16">
        <v>82.73022</v>
      </c>
      <c r="F64" s="16">
        <v>76.18104</v>
      </c>
      <c r="G64" s="16">
        <v>72.50946</v>
      </c>
      <c r="H64" s="16">
        <v>86.31586</v>
      </c>
      <c r="I64" s="16">
        <v>85.07597</v>
      </c>
      <c r="J64" s="16">
        <v>82.32258</v>
      </c>
      <c r="K64" s="16">
        <v>80.88104</v>
      </c>
      <c r="L64" s="16">
        <v>87.23333</v>
      </c>
      <c r="M64" s="16">
        <v>88.03053</v>
      </c>
      <c r="N64" s="16">
        <v>77.69742</v>
      </c>
      <c r="O64" s="16">
        <v>84.71029</v>
      </c>
      <c r="P64" s="16">
        <v>89.43477</v>
      </c>
      <c r="Q64" s="16">
        <v>85.73914</v>
      </c>
      <c r="R64" s="16">
        <v>89.29805</v>
      </c>
      <c r="S64" s="16">
        <v>89.51349</v>
      </c>
      <c r="T64" s="16">
        <v>82.74034</v>
      </c>
    </row>
    <row r="65">
      <c r="A65" s="15">
        <v>45902.0</v>
      </c>
      <c r="B65" s="16">
        <v>78.60881</v>
      </c>
      <c r="C65" s="16">
        <v>80.26767</v>
      </c>
      <c r="D65" s="16">
        <v>79.37083</v>
      </c>
      <c r="E65" s="16">
        <v>75.23027</v>
      </c>
      <c r="F65" s="16">
        <v>75.68338</v>
      </c>
      <c r="G65" s="16">
        <v>76.12972</v>
      </c>
      <c r="H65" s="16">
        <v>82.68682</v>
      </c>
      <c r="I65" s="16">
        <v>78.64519</v>
      </c>
      <c r="J65" s="16">
        <v>80.63346</v>
      </c>
      <c r="K65" s="16">
        <v>81.13789</v>
      </c>
      <c r="L65" s="16">
        <v>82.78724</v>
      </c>
      <c r="M65" s="16">
        <v>81.80404</v>
      </c>
      <c r="N65" s="16">
        <v>73.85681</v>
      </c>
      <c r="O65" s="16">
        <v>91.08964</v>
      </c>
      <c r="P65" s="16">
        <v>94.85707</v>
      </c>
      <c r="Q65" s="16">
        <v>90.02372</v>
      </c>
      <c r="R65" s="16">
        <v>89.23801</v>
      </c>
      <c r="S65" s="16">
        <v>88.05312</v>
      </c>
      <c r="T65" s="16">
        <v>84.08352</v>
      </c>
    </row>
    <row r="66">
      <c r="A66" s="15">
        <v>45903.0</v>
      </c>
      <c r="B66" s="16">
        <v>100.82831</v>
      </c>
      <c r="C66" s="16">
        <v>92.48122</v>
      </c>
      <c r="D66" s="16">
        <v>92.7358</v>
      </c>
      <c r="E66" s="16">
        <v>80.40908</v>
      </c>
      <c r="F66" s="16">
        <v>75.71133</v>
      </c>
      <c r="G66" s="16">
        <v>81.38271</v>
      </c>
      <c r="H66" s="16">
        <v>84.87371</v>
      </c>
      <c r="I66" s="16">
        <v>79.28612</v>
      </c>
      <c r="J66" s="16">
        <v>85.32456</v>
      </c>
      <c r="K66" s="16">
        <v>82.96819</v>
      </c>
      <c r="L66" s="16">
        <v>80.94466</v>
      </c>
      <c r="M66" s="16">
        <v>83.3826</v>
      </c>
      <c r="N66" s="16">
        <v>75.30371</v>
      </c>
      <c r="O66" s="16">
        <v>89.64374</v>
      </c>
      <c r="P66" s="16">
        <v>94.74394</v>
      </c>
      <c r="Q66" s="16">
        <v>88.29049</v>
      </c>
      <c r="R66" s="16">
        <v>84.23884</v>
      </c>
      <c r="S66" s="16">
        <v>90.13291</v>
      </c>
      <c r="T66" s="16">
        <v>88.77056</v>
      </c>
    </row>
    <row r="67">
      <c r="A67" s="15">
        <v>45904.0</v>
      </c>
      <c r="B67" s="16">
        <v>92.64082</v>
      </c>
      <c r="C67" s="16">
        <v>78.4273</v>
      </c>
      <c r="D67" s="16">
        <v>88.87026</v>
      </c>
      <c r="E67" s="16">
        <v>86.09469</v>
      </c>
      <c r="F67" s="16">
        <v>78.4077</v>
      </c>
      <c r="G67" s="16">
        <v>92.03009</v>
      </c>
      <c r="H67" s="16">
        <v>90.90702</v>
      </c>
      <c r="I67" s="16">
        <v>83.76912</v>
      </c>
      <c r="J67" s="16">
        <v>89.04455</v>
      </c>
      <c r="K67" s="16">
        <v>85.71243</v>
      </c>
      <c r="L67" s="16">
        <v>87.06393</v>
      </c>
      <c r="M67" s="16">
        <v>83.92436</v>
      </c>
      <c r="N67" s="16">
        <v>78.85068</v>
      </c>
      <c r="O67" s="16">
        <v>92.40081</v>
      </c>
      <c r="P67" s="16">
        <v>93.83461</v>
      </c>
      <c r="Q67" s="16">
        <v>82.05267</v>
      </c>
      <c r="R67" s="16">
        <v>83.61154</v>
      </c>
      <c r="S67" s="16">
        <v>86.85246</v>
      </c>
      <c r="T67" s="16">
        <v>82.98452</v>
      </c>
    </row>
    <row r="68">
      <c r="A68" s="15">
        <v>45905.0</v>
      </c>
      <c r="B68" s="16">
        <v>87.98181</v>
      </c>
      <c r="C68" s="16">
        <v>90.1005</v>
      </c>
      <c r="D68" s="16">
        <v>93.36293</v>
      </c>
      <c r="E68" s="16">
        <v>88.13971</v>
      </c>
      <c r="F68" s="16">
        <v>79.86422</v>
      </c>
      <c r="G68" s="16">
        <v>95.33372</v>
      </c>
      <c r="H68" s="16">
        <v>88.54142</v>
      </c>
      <c r="I68" s="16">
        <v>82.68246</v>
      </c>
      <c r="J68" s="16">
        <v>87.10735</v>
      </c>
      <c r="K68" s="16">
        <v>87.52432</v>
      </c>
      <c r="L68" s="16">
        <v>88.52301</v>
      </c>
      <c r="M68" s="16">
        <v>82.75999</v>
      </c>
      <c r="N68" s="16">
        <v>80.6001</v>
      </c>
      <c r="O68" s="16">
        <v>85.48334</v>
      </c>
      <c r="P68" s="16">
        <v>85.00175</v>
      </c>
      <c r="Q68" s="16">
        <v>80.47222</v>
      </c>
      <c r="R68" s="16">
        <v>90.96219</v>
      </c>
      <c r="S68" s="16">
        <v>85.87657</v>
      </c>
      <c r="T68" s="16">
        <v>92.86526</v>
      </c>
    </row>
    <row r="69">
      <c r="A69" s="15">
        <v>45906.0</v>
      </c>
      <c r="B69" s="16">
        <v>85.43521</v>
      </c>
      <c r="C69" s="16">
        <v>93.515</v>
      </c>
      <c r="D69" s="16">
        <v>96.77944</v>
      </c>
      <c r="E69" s="16">
        <v>84.36964</v>
      </c>
      <c r="F69" s="16">
        <v>85.13614</v>
      </c>
      <c r="G69" s="16">
        <v>90.82255</v>
      </c>
      <c r="H69" s="16">
        <v>83.10262</v>
      </c>
      <c r="I69" s="16">
        <v>79.93909</v>
      </c>
      <c r="J69" s="16">
        <v>79.40132</v>
      </c>
      <c r="K69" s="16">
        <v>82.49669</v>
      </c>
      <c r="L69" s="16">
        <v>88.2898</v>
      </c>
      <c r="M69" s="16">
        <v>84.87773</v>
      </c>
      <c r="N69" s="16">
        <v>80.18011</v>
      </c>
      <c r="O69" s="16">
        <v>83.66983</v>
      </c>
      <c r="P69" s="16">
        <v>80.32208</v>
      </c>
      <c r="Q69" s="16">
        <v>83.76998</v>
      </c>
      <c r="R69" s="16">
        <v>89.27131</v>
      </c>
      <c r="S69" s="16">
        <v>87.69391</v>
      </c>
      <c r="T69" s="16">
        <v>88.7792</v>
      </c>
    </row>
    <row r="70">
      <c r="A70" s="15">
        <v>45907.0</v>
      </c>
      <c r="B70" s="16">
        <v>83.3063</v>
      </c>
      <c r="C70" s="16">
        <v>91.97021</v>
      </c>
      <c r="D70" s="16">
        <v>98.243</v>
      </c>
      <c r="E70" s="16">
        <v>72.8362</v>
      </c>
      <c r="F70" s="16">
        <v>90.0818</v>
      </c>
      <c r="G70" s="16">
        <v>92.73321</v>
      </c>
      <c r="H70" s="16">
        <v>77.17758</v>
      </c>
      <c r="I70" s="16">
        <v>83.07213</v>
      </c>
      <c r="J70" s="16">
        <v>83.28523</v>
      </c>
      <c r="K70" s="16">
        <v>86.57966</v>
      </c>
      <c r="L70" s="16">
        <v>86.61965</v>
      </c>
      <c r="M70" s="16">
        <v>87.35076</v>
      </c>
      <c r="N70" s="16">
        <v>84.33625</v>
      </c>
      <c r="O70" s="16">
        <v>87.73244</v>
      </c>
      <c r="P70" s="16">
        <v>76.03326</v>
      </c>
      <c r="Q70" s="16">
        <v>83.45013</v>
      </c>
      <c r="R70" s="16">
        <v>88.84806</v>
      </c>
      <c r="S70" s="16">
        <v>90.38623</v>
      </c>
      <c r="T70" s="16">
        <v>86.00578</v>
      </c>
    </row>
    <row r="71">
      <c r="A71" s="15">
        <v>45908.0</v>
      </c>
      <c r="B71" s="16">
        <v>85.11516</v>
      </c>
      <c r="C71" s="16">
        <v>90.73642</v>
      </c>
      <c r="D71" s="16">
        <v>93.57308</v>
      </c>
      <c r="E71" s="16">
        <v>69.42415</v>
      </c>
      <c r="F71" s="16">
        <v>91.78016</v>
      </c>
      <c r="G71" s="16">
        <v>92.76845</v>
      </c>
      <c r="H71" s="16">
        <v>78.68301</v>
      </c>
      <c r="I71" s="16">
        <v>88.9044</v>
      </c>
      <c r="J71" s="16">
        <v>83.00531</v>
      </c>
      <c r="K71" s="16">
        <v>82.62155</v>
      </c>
      <c r="L71" s="16">
        <v>88.07501</v>
      </c>
      <c r="M71" s="16">
        <v>90.42133</v>
      </c>
      <c r="N71" s="16">
        <v>85.6558</v>
      </c>
      <c r="O71" s="16">
        <v>91.79021</v>
      </c>
      <c r="P71" s="16">
        <v>72.84577</v>
      </c>
      <c r="Q71" s="16">
        <v>92.08615</v>
      </c>
      <c r="R71" s="16">
        <v>88.59553</v>
      </c>
      <c r="S71" s="16">
        <v>91.12779</v>
      </c>
      <c r="T71" s="16">
        <v>84.91011</v>
      </c>
    </row>
    <row r="72">
      <c r="A72" s="15">
        <v>45909.0</v>
      </c>
      <c r="B72" s="16">
        <v>89.09103</v>
      </c>
      <c r="C72" s="16">
        <v>89.96829</v>
      </c>
      <c r="D72" s="16">
        <v>90.29682</v>
      </c>
      <c r="E72" s="16">
        <v>69.26386</v>
      </c>
      <c r="F72" s="16">
        <v>85.20564</v>
      </c>
      <c r="G72" s="16">
        <v>87.59397</v>
      </c>
      <c r="H72" s="16">
        <v>80.7964</v>
      </c>
      <c r="I72" s="16">
        <v>78.73654</v>
      </c>
      <c r="J72" s="16">
        <v>89.1526</v>
      </c>
      <c r="K72" s="16">
        <v>86.61036</v>
      </c>
      <c r="L72" s="16">
        <v>90.91933</v>
      </c>
      <c r="M72" s="16">
        <v>92.64614</v>
      </c>
      <c r="N72" s="16">
        <v>88.15304</v>
      </c>
      <c r="O72" s="16">
        <v>93.03444</v>
      </c>
      <c r="P72" s="16">
        <v>72.91695</v>
      </c>
      <c r="Q72" s="16">
        <v>91.03327</v>
      </c>
      <c r="R72" s="16">
        <v>90.99746</v>
      </c>
      <c r="S72" s="16">
        <v>86.50788</v>
      </c>
      <c r="T72" s="16">
        <v>85.37883</v>
      </c>
    </row>
    <row r="73">
      <c r="A73" s="15">
        <v>45910.0</v>
      </c>
      <c r="B73" s="16">
        <v>78.76996</v>
      </c>
      <c r="C73" s="16">
        <v>77.10061</v>
      </c>
      <c r="D73" s="16">
        <v>78.40307</v>
      </c>
      <c r="E73" s="16">
        <v>77.89385</v>
      </c>
      <c r="F73" s="16">
        <v>85.85946</v>
      </c>
      <c r="G73" s="16">
        <v>90.47111</v>
      </c>
      <c r="H73" s="16">
        <v>82.45539</v>
      </c>
      <c r="I73" s="16">
        <v>82.09271</v>
      </c>
      <c r="J73" s="16">
        <v>86.23449</v>
      </c>
      <c r="K73" s="16">
        <v>83.58407</v>
      </c>
      <c r="L73" s="16">
        <v>90.07534</v>
      </c>
      <c r="M73" s="16">
        <v>90.17829</v>
      </c>
      <c r="N73" s="16">
        <v>86.32201</v>
      </c>
      <c r="O73" s="16">
        <v>92.80567</v>
      </c>
      <c r="P73" s="16">
        <v>79.1874</v>
      </c>
      <c r="Q73" s="16">
        <v>85.95725</v>
      </c>
      <c r="R73" s="16">
        <v>91.85927</v>
      </c>
      <c r="S73" s="16">
        <v>85.97693</v>
      </c>
      <c r="T73" s="16">
        <v>88.11342</v>
      </c>
    </row>
    <row r="74">
      <c r="A74" s="15">
        <v>45911.0</v>
      </c>
      <c r="B74" s="16">
        <v>81.62751</v>
      </c>
      <c r="C74" s="16">
        <v>79.55798</v>
      </c>
      <c r="D74" s="16">
        <v>86.0639</v>
      </c>
      <c r="E74" s="16">
        <v>80.96365</v>
      </c>
      <c r="F74" s="16">
        <v>88.06438</v>
      </c>
      <c r="G74" s="16">
        <v>92.70334</v>
      </c>
      <c r="H74" s="16">
        <v>78.93679</v>
      </c>
      <c r="I74" s="16">
        <v>83.07608</v>
      </c>
      <c r="J74" s="16">
        <v>84.27164</v>
      </c>
      <c r="K74" s="16">
        <v>84.45005</v>
      </c>
      <c r="L74" s="16">
        <v>88.89928</v>
      </c>
      <c r="M74" s="16">
        <v>87.8611</v>
      </c>
      <c r="N74" s="16">
        <v>81.57026</v>
      </c>
      <c r="O74" s="16">
        <v>92.97011</v>
      </c>
      <c r="P74" s="16">
        <v>82.13246</v>
      </c>
      <c r="Q74" s="16">
        <v>84.22688</v>
      </c>
      <c r="R74" s="16">
        <v>89.68728</v>
      </c>
      <c r="S74" s="16">
        <v>86.17031</v>
      </c>
      <c r="T74" s="16">
        <v>87.03952</v>
      </c>
    </row>
    <row r="75">
      <c r="A75" s="15">
        <v>45912.0</v>
      </c>
      <c r="B75" s="16">
        <v>83.89378</v>
      </c>
      <c r="C75" s="16">
        <v>82.89842</v>
      </c>
      <c r="D75" s="16">
        <v>88.9978</v>
      </c>
      <c r="E75" s="16">
        <v>84.66463</v>
      </c>
      <c r="F75" s="16">
        <v>88.69431</v>
      </c>
      <c r="G75" s="16">
        <v>94.78641</v>
      </c>
      <c r="H75" s="16">
        <v>78.70448</v>
      </c>
      <c r="I75" s="16">
        <v>83.01266</v>
      </c>
      <c r="J75" s="16">
        <v>82.796</v>
      </c>
      <c r="K75" s="16">
        <v>83.59251</v>
      </c>
      <c r="L75" s="16">
        <v>88.16389</v>
      </c>
      <c r="M75" s="16">
        <v>83.36606</v>
      </c>
      <c r="N75" s="16">
        <v>77.74437</v>
      </c>
      <c r="O75" s="16">
        <v>97.57135</v>
      </c>
      <c r="P75" s="16">
        <v>84.83063</v>
      </c>
      <c r="Q75" s="16">
        <v>83.1977</v>
      </c>
      <c r="R75" s="16">
        <v>88.80922</v>
      </c>
      <c r="S75" s="16">
        <v>88.67597</v>
      </c>
      <c r="T75" s="16">
        <v>86.21924</v>
      </c>
    </row>
    <row r="76">
      <c r="A76" s="15">
        <v>45913.0</v>
      </c>
      <c r="B76" s="16">
        <v>75.33867</v>
      </c>
      <c r="C76" s="16">
        <v>75.70268</v>
      </c>
      <c r="D76" s="16">
        <v>82.33588</v>
      </c>
      <c r="E76" s="16">
        <v>81.40518</v>
      </c>
      <c r="F76" s="16">
        <v>82.35089</v>
      </c>
      <c r="G76" s="16">
        <v>89.72546</v>
      </c>
      <c r="H76" s="16">
        <v>76.22032</v>
      </c>
      <c r="I76" s="16">
        <v>78.84192</v>
      </c>
      <c r="J76" s="16">
        <v>82.53349</v>
      </c>
      <c r="K76" s="16">
        <v>80.63835</v>
      </c>
      <c r="L76" s="16">
        <v>82.91636</v>
      </c>
      <c r="M76" s="16">
        <v>82.85076</v>
      </c>
      <c r="N76" s="16">
        <v>76.87634</v>
      </c>
      <c r="O76" s="16">
        <v>88.85701</v>
      </c>
      <c r="P76" s="16">
        <v>84.4267</v>
      </c>
      <c r="Q76" s="16">
        <v>80.41595</v>
      </c>
      <c r="R76" s="16">
        <v>88.85656</v>
      </c>
      <c r="S76" s="16">
        <v>89.48818</v>
      </c>
      <c r="T76" s="16">
        <v>77.95801</v>
      </c>
    </row>
    <row r="77">
      <c r="A77" s="15">
        <v>45914.0</v>
      </c>
      <c r="B77" s="16">
        <v>84.06756</v>
      </c>
      <c r="C77" s="16">
        <v>83.66453</v>
      </c>
      <c r="D77" s="16">
        <v>81.81996</v>
      </c>
      <c r="E77" s="16">
        <v>82.4866</v>
      </c>
      <c r="F77" s="16">
        <v>80.38317</v>
      </c>
      <c r="G77" s="16">
        <v>77.77338</v>
      </c>
      <c r="H77" s="16">
        <v>82.31195</v>
      </c>
      <c r="I77" s="16">
        <v>78.18163</v>
      </c>
      <c r="J77" s="16">
        <v>85.52223</v>
      </c>
      <c r="K77" s="16">
        <v>72.34785</v>
      </c>
      <c r="L77" s="16">
        <v>86.90928</v>
      </c>
      <c r="M77" s="16">
        <v>85.85544</v>
      </c>
      <c r="N77" s="16">
        <v>79.65135</v>
      </c>
      <c r="O77" s="16">
        <v>87.5143</v>
      </c>
      <c r="P77" s="16">
        <v>89.33909</v>
      </c>
      <c r="Q77" s="16">
        <v>82.28621</v>
      </c>
      <c r="R77" s="16">
        <v>89.1409</v>
      </c>
      <c r="S77" s="16">
        <v>87.57485</v>
      </c>
      <c r="T77" s="16">
        <v>75.10617</v>
      </c>
    </row>
    <row r="78">
      <c r="A78" s="15">
        <v>45915.0</v>
      </c>
      <c r="B78" s="16">
        <v>92.92855</v>
      </c>
      <c r="C78" s="16">
        <v>91.12722</v>
      </c>
      <c r="D78" s="16">
        <v>88.92164</v>
      </c>
      <c r="E78" s="16">
        <v>87.40614</v>
      </c>
      <c r="F78" s="16">
        <v>84.38076</v>
      </c>
      <c r="G78" s="16">
        <v>75.4552</v>
      </c>
      <c r="H78" s="16">
        <v>82.88169</v>
      </c>
      <c r="I78" s="16">
        <v>79.37792</v>
      </c>
      <c r="J78" s="16">
        <v>86.29152</v>
      </c>
      <c r="K78" s="16">
        <v>77.01013</v>
      </c>
      <c r="L78" s="16">
        <v>82.04282</v>
      </c>
      <c r="M78" s="16">
        <v>87.55541</v>
      </c>
      <c r="N78" s="16">
        <v>79.22029</v>
      </c>
      <c r="O78" s="16">
        <v>87.29088</v>
      </c>
      <c r="P78" s="16">
        <v>88.61774</v>
      </c>
      <c r="Q78" s="16">
        <v>79.15983</v>
      </c>
      <c r="R78" s="16">
        <v>82.33125</v>
      </c>
      <c r="S78" s="16">
        <v>81.02183</v>
      </c>
      <c r="T78" s="16">
        <v>77.94594</v>
      </c>
    </row>
    <row r="79">
      <c r="A79" s="15">
        <v>45916.0</v>
      </c>
      <c r="B79" s="16">
        <v>85.66611</v>
      </c>
      <c r="C79" s="16">
        <v>85.93248</v>
      </c>
      <c r="D79" s="16">
        <v>87.81892</v>
      </c>
      <c r="E79" s="16">
        <v>79.89506</v>
      </c>
      <c r="F79" s="16">
        <v>77.41823</v>
      </c>
      <c r="G79" s="16">
        <v>85.12234</v>
      </c>
      <c r="H79" s="16">
        <v>79.00737</v>
      </c>
      <c r="I79" s="16">
        <v>72.47895</v>
      </c>
      <c r="J79" s="16">
        <v>88.60589</v>
      </c>
      <c r="K79" s="16">
        <v>78.38509</v>
      </c>
      <c r="L79" s="16">
        <v>80.01145</v>
      </c>
      <c r="M79" s="16">
        <v>79.05626</v>
      </c>
      <c r="N79" s="16">
        <v>78.24281</v>
      </c>
      <c r="O79" s="16">
        <v>89.7533</v>
      </c>
      <c r="P79" s="16">
        <v>85.9527</v>
      </c>
      <c r="Q79" s="16">
        <v>81.0077</v>
      </c>
      <c r="R79" s="16">
        <v>79.49633</v>
      </c>
      <c r="S79" s="16">
        <v>78.06748</v>
      </c>
      <c r="T79" s="16">
        <v>78.92122</v>
      </c>
    </row>
    <row r="80">
      <c r="A80" s="15">
        <v>45917.0</v>
      </c>
      <c r="B80" s="16">
        <v>87.2615</v>
      </c>
      <c r="C80" s="16">
        <v>87.43747</v>
      </c>
      <c r="D80" s="16">
        <v>82.91894</v>
      </c>
      <c r="E80" s="16">
        <v>77.30454</v>
      </c>
      <c r="F80" s="16">
        <v>77.91223</v>
      </c>
      <c r="G80" s="16">
        <v>88.5376</v>
      </c>
      <c r="H80" s="16">
        <v>80.69077</v>
      </c>
      <c r="I80" s="16">
        <v>74.15518</v>
      </c>
      <c r="J80" s="16">
        <v>88.9189</v>
      </c>
      <c r="K80" s="16">
        <v>81.65954</v>
      </c>
      <c r="L80" s="16">
        <v>77.31345</v>
      </c>
      <c r="M80" s="16">
        <v>80.62885</v>
      </c>
      <c r="N80" s="16">
        <v>79.01275</v>
      </c>
      <c r="O80" s="16">
        <v>85.47253</v>
      </c>
      <c r="P80" s="16">
        <v>75.12349</v>
      </c>
      <c r="Q80" s="16">
        <v>86.47801</v>
      </c>
      <c r="R80" s="16">
        <v>86.15517</v>
      </c>
      <c r="S80" s="16">
        <v>80.15983</v>
      </c>
      <c r="T80" s="16">
        <v>75.37866</v>
      </c>
    </row>
    <row r="81">
      <c r="A81" s="15">
        <v>45918.0</v>
      </c>
      <c r="B81" s="16">
        <v>85.11624</v>
      </c>
      <c r="C81" s="16">
        <v>83.22346</v>
      </c>
      <c r="D81" s="16">
        <v>77.55913</v>
      </c>
      <c r="E81" s="16">
        <v>71.71453</v>
      </c>
      <c r="F81" s="16">
        <v>78.3928</v>
      </c>
      <c r="G81" s="16">
        <v>85.19768</v>
      </c>
      <c r="H81" s="16">
        <v>78.88122</v>
      </c>
      <c r="I81" s="16">
        <v>76.38821</v>
      </c>
      <c r="J81" s="16">
        <v>84.6739</v>
      </c>
      <c r="K81" s="16">
        <v>82.87488</v>
      </c>
      <c r="L81" s="16">
        <v>76.51702</v>
      </c>
      <c r="M81" s="16">
        <v>72.07161</v>
      </c>
      <c r="N81" s="16">
        <v>78.7333</v>
      </c>
      <c r="O81" s="16">
        <v>97.00771</v>
      </c>
      <c r="P81" s="16">
        <v>80.05667</v>
      </c>
      <c r="Q81" s="16">
        <v>85.08115</v>
      </c>
      <c r="R81" s="16">
        <v>81.77621</v>
      </c>
      <c r="S81" s="16">
        <v>85.08716</v>
      </c>
      <c r="T81" s="16">
        <v>80.22822</v>
      </c>
    </row>
    <row r="82">
      <c r="A82" s="15">
        <v>45919.0</v>
      </c>
      <c r="B82" s="16">
        <v>88.07513</v>
      </c>
      <c r="C82" s="16">
        <v>83.47593</v>
      </c>
      <c r="D82" s="16">
        <v>81.07906</v>
      </c>
      <c r="E82" s="16">
        <v>71.76782</v>
      </c>
      <c r="F82" s="16">
        <v>81.63803</v>
      </c>
      <c r="G82" s="16">
        <v>83.46899</v>
      </c>
      <c r="H82" s="16">
        <v>81.48241</v>
      </c>
      <c r="I82" s="16">
        <v>79.39977</v>
      </c>
      <c r="J82" s="16">
        <v>87.30813</v>
      </c>
      <c r="K82" s="16">
        <v>84.58088</v>
      </c>
      <c r="L82" s="16">
        <v>76.82767</v>
      </c>
      <c r="M82" s="16">
        <v>77.87367</v>
      </c>
      <c r="N82" s="16">
        <v>77.36897</v>
      </c>
      <c r="O82" s="16">
        <v>91.17496</v>
      </c>
      <c r="P82" s="16">
        <v>75.87606</v>
      </c>
      <c r="Q82" s="16">
        <v>79.7865</v>
      </c>
      <c r="R82" s="16">
        <v>79.55007</v>
      </c>
      <c r="S82" s="16">
        <v>87.04177</v>
      </c>
      <c r="T82" s="16">
        <v>83.44706</v>
      </c>
    </row>
    <row r="83">
      <c r="A83" s="15">
        <v>45920.0</v>
      </c>
      <c r="B83" s="16">
        <v>90.07746</v>
      </c>
      <c r="C83" s="16">
        <v>81.66998</v>
      </c>
      <c r="D83" s="16">
        <v>81.00252</v>
      </c>
      <c r="E83" s="16">
        <v>78.83862</v>
      </c>
      <c r="F83" s="16">
        <v>79.99981</v>
      </c>
      <c r="G83" s="16">
        <v>80.06874</v>
      </c>
      <c r="H83" s="16">
        <v>84.03036</v>
      </c>
      <c r="I83" s="16">
        <v>79.45383</v>
      </c>
      <c r="J83" s="16">
        <v>88.99672</v>
      </c>
      <c r="K83" s="16">
        <v>80.44307</v>
      </c>
      <c r="L83" s="16">
        <v>79.40404</v>
      </c>
      <c r="M83" s="16">
        <v>78.34013</v>
      </c>
      <c r="N83" s="16">
        <v>73.01931</v>
      </c>
      <c r="O83" s="16">
        <v>92.00133</v>
      </c>
      <c r="P83" s="16">
        <v>77.57211</v>
      </c>
      <c r="Q83" s="16">
        <v>82.24143</v>
      </c>
      <c r="R83" s="16">
        <v>83.20106</v>
      </c>
      <c r="S83" s="16">
        <v>85.39065</v>
      </c>
      <c r="T83" s="16">
        <v>86.29334</v>
      </c>
    </row>
    <row r="84">
      <c r="A84" s="15">
        <v>45921.0</v>
      </c>
      <c r="B84" s="16">
        <v>92.34346</v>
      </c>
      <c r="C84" s="16">
        <v>79.14954</v>
      </c>
      <c r="D84" s="16">
        <v>70.20221</v>
      </c>
      <c r="E84" s="16">
        <v>86.64563</v>
      </c>
      <c r="F84" s="16">
        <v>81.285</v>
      </c>
      <c r="G84" s="16">
        <v>82.78186</v>
      </c>
      <c r="H84" s="16">
        <v>83.78757</v>
      </c>
      <c r="I84" s="16">
        <v>71.9741</v>
      </c>
      <c r="J84" s="16">
        <v>88.45413</v>
      </c>
      <c r="K84" s="16">
        <v>74.43183</v>
      </c>
      <c r="L84" s="16">
        <v>81.06471</v>
      </c>
      <c r="M84" s="16">
        <v>78.39499</v>
      </c>
      <c r="N84" s="16">
        <v>77.05498</v>
      </c>
      <c r="O84" s="16">
        <v>92.12646</v>
      </c>
      <c r="P84" s="16">
        <v>77.74271</v>
      </c>
      <c r="Q84" s="16">
        <v>78.15309</v>
      </c>
      <c r="R84" s="16">
        <v>85.2422</v>
      </c>
      <c r="S84" s="16">
        <v>80.81587</v>
      </c>
      <c r="T84" s="16">
        <v>86.90409</v>
      </c>
    </row>
    <row r="85">
      <c r="A85" s="15">
        <v>45922.0</v>
      </c>
      <c r="B85" s="16">
        <v>93.21829</v>
      </c>
      <c r="C85" s="16">
        <v>79.91002</v>
      </c>
      <c r="D85" s="16">
        <v>76.00382</v>
      </c>
      <c r="E85" s="16">
        <v>77.54399</v>
      </c>
      <c r="F85" s="16">
        <v>82.757</v>
      </c>
      <c r="G85" s="16">
        <v>81.84227</v>
      </c>
      <c r="H85" s="16">
        <v>79.5776</v>
      </c>
      <c r="I85" s="16">
        <v>70.35528</v>
      </c>
      <c r="J85" s="16">
        <v>87.2586</v>
      </c>
      <c r="K85" s="16">
        <v>71.99607</v>
      </c>
      <c r="L85" s="16">
        <v>78.22561</v>
      </c>
      <c r="M85" s="16">
        <v>77.63297</v>
      </c>
      <c r="N85" s="16">
        <v>81.89035</v>
      </c>
      <c r="O85" s="16">
        <v>97.6105</v>
      </c>
      <c r="P85" s="16">
        <v>84.98907</v>
      </c>
      <c r="Q85" s="16">
        <v>81.6619</v>
      </c>
      <c r="R85" s="16">
        <v>75.81241</v>
      </c>
      <c r="S85" s="16">
        <v>87.46992</v>
      </c>
      <c r="T85" s="16">
        <v>80.45484</v>
      </c>
    </row>
    <row r="86">
      <c r="A86" s="15">
        <v>45923.0</v>
      </c>
      <c r="B86" s="16">
        <v>80.89773</v>
      </c>
      <c r="C86" s="16">
        <v>93.01301</v>
      </c>
      <c r="D86" s="16">
        <v>77.49014</v>
      </c>
      <c r="E86" s="16">
        <v>78.99378</v>
      </c>
      <c r="F86" s="16">
        <v>91.40268</v>
      </c>
      <c r="G86" s="16">
        <v>82.86289</v>
      </c>
      <c r="H86" s="16">
        <v>81.6159</v>
      </c>
      <c r="I86" s="16">
        <v>82.63439</v>
      </c>
      <c r="J86" s="16">
        <v>90.57666</v>
      </c>
      <c r="K86" s="16">
        <v>82.26846</v>
      </c>
      <c r="L86" s="16">
        <v>85.69583</v>
      </c>
      <c r="M86" s="16">
        <v>81.95554</v>
      </c>
      <c r="N86" s="16">
        <v>82.05959</v>
      </c>
      <c r="O86" s="16">
        <v>92.42864</v>
      </c>
      <c r="P86" s="16">
        <v>81.10361</v>
      </c>
      <c r="Q86" s="16">
        <v>86.06148</v>
      </c>
      <c r="R86" s="16">
        <v>78.57122</v>
      </c>
      <c r="S86" s="16">
        <v>81.93816</v>
      </c>
      <c r="T86" s="16">
        <v>75.70672</v>
      </c>
    </row>
    <row r="87">
      <c r="A87" s="15">
        <v>45924.0</v>
      </c>
      <c r="B87" s="16">
        <v>80.34056</v>
      </c>
      <c r="C87" s="16">
        <v>87.63267</v>
      </c>
      <c r="D87" s="16">
        <v>76.92591</v>
      </c>
      <c r="E87" s="16">
        <v>82.15672</v>
      </c>
      <c r="F87" s="16">
        <v>90.9555</v>
      </c>
      <c r="G87" s="16">
        <v>80.16571</v>
      </c>
      <c r="H87" s="16">
        <v>77.74724</v>
      </c>
      <c r="I87" s="16">
        <v>80.68313</v>
      </c>
      <c r="J87" s="16">
        <v>85.34793</v>
      </c>
      <c r="K87" s="16">
        <v>83.18997</v>
      </c>
      <c r="L87" s="16">
        <v>81.74976</v>
      </c>
      <c r="M87" s="16">
        <v>81.92726</v>
      </c>
      <c r="N87" s="16">
        <v>81.7825</v>
      </c>
      <c r="O87" s="16">
        <v>91.06768</v>
      </c>
      <c r="P87" s="16">
        <v>81.5936</v>
      </c>
      <c r="Q87" s="16">
        <v>81.63635</v>
      </c>
      <c r="R87" s="16">
        <v>80.06048</v>
      </c>
      <c r="S87" s="16">
        <v>75.25149</v>
      </c>
      <c r="T87" s="16">
        <v>77.41148</v>
      </c>
    </row>
    <row r="88">
      <c r="A88" s="15">
        <v>45925.0</v>
      </c>
      <c r="B88" s="16">
        <v>84.39254</v>
      </c>
      <c r="C88" s="16">
        <v>81.95662</v>
      </c>
      <c r="D88" s="16">
        <v>77.7583</v>
      </c>
      <c r="E88" s="16">
        <v>83.95663</v>
      </c>
      <c r="F88" s="16">
        <v>76.21824</v>
      </c>
      <c r="G88" s="16">
        <v>77.69103</v>
      </c>
      <c r="H88" s="16">
        <v>81.17573</v>
      </c>
      <c r="I88" s="16">
        <v>83.19042</v>
      </c>
      <c r="J88" s="16">
        <v>87.99513</v>
      </c>
      <c r="K88" s="16">
        <v>83.42355</v>
      </c>
      <c r="L88" s="16">
        <v>84.28531</v>
      </c>
      <c r="M88" s="16">
        <v>76.1133</v>
      </c>
      <c r="N88" s="16">
        <v>82.76998</v>
      </c>
      <c r="O88" s="16">
        <v>88.11469</v>
      </c>
      <c r="P88" s="16">
        <v>82.6214</v>
      </c>
      <c r="Q88" s="16">
        <v>81.04461</v>
      </c>
      <c r="R88" s="16">
        <v>76.85546</v>
      </c>
      <c r="S88" s="16">
        <v>79.68458</v>
      </c>
      <c r="T88" s="16">
        <v>76.62187</v>
      </c>
    </row>
    <row r="89">
      <c r="A89" s="15">
        <v>45926.0</v>
      </c>
      <c r="B89" s="16">
        <v>69.18892</v>
      </c>
      <c r="C89" s="16">
        <v>83.00706</v>
      </c>
      <c r="D89" s="16">
        <v>81.12411</v>
      </c>
      <c r="E89" s="16">
        <v>83.38502</v>
      </c>
      <c r="F89" s="16">
        <v>67.34144</v>
      </c>
      <c r="G89" s="16">
        <v>72.97429</v>
      </c>
      <c r="H89" s="16">
        <v>85.01869</v>
      </c>
      <c r="I89" s="16">
        <v>84.22666</v>
      </c>
      <c r="J89" s="16">
        <v>87.85642</v>
      </c>
      <c r="K89" s="16">
        <v>78.03152</v>
      </c>
      <c r="L89" s="16">
        <v>88.03354</v>
      </c>
      <c r="M89" s="16">
        <v>80.52934</v>
      </c>
      <c r="N89" s="16">
        <v>84.73212</v>
      </c>
      <c r="O89" s="16">
        <v>89.67095</v>
      </c>
      <c r="P89" s="16">
        <v>80.57407</v>
      </c>
      <c r="Q89" s="16">
        <v>76.08329</v>
      </c>
      <c r="R89" s="16">
        <v>66.64525</v>
      </c>
      <c r="S89" s="16">
        <v>78.70648</v>
      </c>
      <c r="T89" s="16">
        <v>70.62961</v>
      </c>
    </row>
    <row r="90">
      <c r="A90" s="15">
        <v>45927.0</v>
      </c>
      <c r="B90" s="16">
        <v>64.64756</v>
      </c>
      <c r="C90" s="16">
        <v>78.27702</v>
      </c>
      <c r="D90" s="16">
        <v>77.9537</v>
      </c>
      <c r="E90" s="16">
        <v>69.28946</v>
      </c>
      <c r="F90" s="16">
        <v>70.11627</v>
      </c>
      <c r="G90" s="16">
        <v>74.05633</v>
      </c>
      <c r="H90" s="16">
        <v>82.53692</v>
      </c>
      <c r="I90" s="16">
        <v>80.81085</v>
      </c>
      <c r="J90" s="16">
        <v>79.95996</v>
      </c>
      <c r="K90" s="16">
        <v>80.86918</v>
      </c>
      <c r="L90" s="16">
        <v>87.83645</v>
      </c>
      <c r="M90" s="16">
        <v>82.90225</v>
      </c>
      <c r="N90" s="16">
        <v>86.49422</v>
      </c>
      <c r="O90" s="16">
        <v>80.7866</v>
      </c>
      <c r="P90" s="16">
        <v>87.25424</v>
      </c>
      <c r="Q90" s="16">
        <v>83.89394</v>
      </c>
      <c r="R90" s="16">
        <v>74.176</v>
      </c>
      <c r="S90" s="16">
        <v>74.23674</v>
      </c>
      <c r="T90" s="16">
        <v>71.30964</v>
      </c>
    </row>
    <row r="91">
      <c r="A91" s="15">
        <v>45928.0</v>
      </c>
      <c r="B91" s="16">
        <v>60.11756</v>
      </c>
      <c r="C91" s="16">
        <v>81.74793</v>
      </c>
      <c r="D91" s="16">
        <v>73.47135</v>
      </c>
      <c r="E91" s="16">
        <v>67.28005</v>
      </c>
      <c r="F91" s="16">
        <v>71.47716</v>
      </c>
      <c r="G91" s="16">
        <v>73.15971</v>
      </c>
      <c r="H91" s="16">
        <v>81.6985</v>
      </c>
      <c r="I91" s="16">
        <v>72.77447</v>
      </c>
      <c r="J91" s="16">
        <v>84.71344</v>
      </c>
      <c r="K91" s="16">
        <v>79.17575</v>
      </c>
      <c r="L91" s="16">
        <v>86.28576</v>
      </c>
      <c r="M91" s="16">
        <v>79.65327</v>
      </c>
      <c r="N91" s="16">
        <v>85.44789</v>
      </c>
      <c r="O91" s="16">
        <v>85.03132</v>
      </c>
      <c r="P91" s="16">
        <v>87.24887</v>
      </c>
      <c r="Q91" s="16">
        <v>87.69646</v>
      </c>
      <c r="R91" s="16">
        <v>77.22432</v>
      </c>
      <c r="S91" s="16">
        <v>75.51476</v>
      </c>
      <c r="T91" s="16">
        <v>68.77749</v>
      </c>
    </row>
    <row r="92">
      <c r="A92" s="15">
        <v>45929.0</v>
      </c>
      <c r="B92" s="16">
        <v>62.33211</v>
      </c>
      <c r="C92" s="16">
        <v>79.03317</v>
      </c>
      <c r="D92" s="16">
        <v>75.74397</v>
      </c>
      <c r="E92" s="16">
        <v>69.22361</v>
      </c>
      <c r="F92" s="16">
        <v>71.79422</v>
      </c>
      <c r="G92" s="16">
        <v>71.47602</v>
      </c>
      <c r="H92" s="16">
        <v>69.4897</v>
      </c>
      <c r="I92" s="16">
        <v>70.87339</v>
      </c>
      <c r="J92" s="16">
        <v>79.94999</v>
      </c>
      <c r="K92" s="16">
        <v>76.43757</v>
      </c>
      <c r="L92" s="16">
        <v>79.74205</v>
      </c>
      <c r="M92" s="16">
        <v>78.69379</v>
      </c>
      <c r="N92" s="16">
        <v>78.87782</v>
      </c>
      <c r="O92" s="16">
        <v>73.17106</v>
      </c>
      <c r="P92" s="16">
        <v>79.05283</v>
      </c>
      <c r="Q92" s="16">
        <v>86.62651</v>
      </c>
      <c r="R92" s="16">
        <v>76.93059</v>
      </c>
      <c r="S92" s="16">
        <v>74.2184</v>
      </c>
      <c r="T92" s="16">
        <v>72.23516</v>
      </c>
    </row>
    <row r="93">
      <c r="A93" s="15">
        <v>45930.0</v>
      </c>
      <c r="B93" s="16">
        <v>64.04852</v>
      </c>
      <c r="C93" s="16">
        <v>69.92948</v>
      </c>
      <c r="D93" s="16">
        <v>72.06467</v>
      </c>
      <c r="E93" s="16">
        <v>66.71896</v>
      </c>
      <c r="F93" s="16">
        <v>67.22207</v>
      </c>
      <c r="G93" s="16">
        <v>69.4046</v>
      </c>
      <c r="H93" s="16">
        <v>65.81322</v>
      </c>
      <c r="I93" s="16">
        <v>76.05237</v>
      </c>
      <c r="J93" s="16">
        <v>83.083</v>
      </c>
      <c r="K93" s="16">
        <v>70.67778</v>
      </c>
      <c r="L93" s="16">
        <v>81.34809</v>
      </c>
      <c r="M93" s="16">
        <v>83.53445</v>
      </c>
      <c r="N93" s="16">
        <v>73.31685</v>
      </c>
      <c r="O93" s="16">
        <v>77.61124</v>
      </c>
      <c r="P93" s="16">
        <v>81.33449</v>
      </c>
      <c r="Q93" s="16">
        <v>82.14768</v>
      </c>
      <c r="R93" s="16">
        <v>71.9801</v>
      </c>
      <c r="S93" s="16">
        <v>69.01567</v>
      </c>
      <c r="T93" s="16">
        <v>76.16466</v>
      </c>
    </row>
    <row r="94">
      <c r="A94" s="15">
        <v>45931.0</v>
      </c>
      <c r="B94" s="16">
        <v>80.67739</v>
      </c>
      <c r="C94" s="16">
        <v>69.54799</v>
      </c>
      <c r="D94" s="16">
        <v>70.03772</v>
      </c>
      <c r="E94" s="16">
        <v>71.72289</v>
      </c>
      <c r="F94" s="16">
        <v>68.61302</v>
      </c>
      <c r="G94" s="16">
        <v>75.19378</v>
      </c>
      <c r="H94" s="16">
        <v>68.09736</v>
      </c>
      <c r="I94" s="16">
        <v>77.24541</v>
      </c>
      <c r="J94" s="16">
        <v>81.12137</v>
      </c>
      <c r="K94" s="16">
        <v>72.91653</v>
      </c>
      <c r="L94" s="16">
        <v>80.39742</v>
      </c>
      <c r="M94" s="16">
        <v>86.17899</v>
      </c>
      <c r="N94" s="16">
        <v>71.68182</v>
      </c>
      <c r="O94" s="16">
        <v>75.22927</v>
      </c>
      <c r="P94" s="16">
        <v>78.95309</v>
      </c>
      <c r="Q94" s="16">
        <v>73.01363</v>
      </c>
      <c r="R94" s="16">
        <v>75.4424</v>
      </c>
      <c r="S94" s="16">
        <v>79.39071</v>
      </c>
      <c r="T94" s="16">
        <v>80.70125</v>
      </c>
    </row>
    <row r="95">
      <c r="A95" s="15">
        <v>45932.0</v>
      </c>
      <c r="B95" s="16">
        <v>82.9687</v>
      </c>
      <c r="C95" s="16">
        <v>85.55943</v>
      </c>
      <c r="D95" s="16">
        <v>72.04668</v>
      </c>
      <c r="E95" s="16">
        <v>75.2602</v>
      </c>
      <c r="F95" s="16">
        <v>72.55846</v>
      </c>
      <c r="G95" s="16">
        <v>79.63969</v>
      </c>
      <c r="H95" s="16">
        <v>70.10585</v>
      </c>
      <c r="I95" s="16">
        <v>78.54467</v>
      </c>
      <c r="J95" s="16">
        <v>80.2443</v>
      </c>
      <c r="K95" s="16">
        <v>78.07264</v>
      </c>
      <c r="L95" s="16">
        <v>77.10956</v>
      </c>
      <c r="M95" s="16">
        <v>76.2226</v>
      </c>
      <c r="N95" s="16">
        <v>74.73955</v>
      </c>
      <c r="O95" s="16">
        <v>77.06579</v>
      </c>
      <c r="P95" s="16">
        <v>68.47238</v>
      </c>
      <c r="Q95" s="16">
        <v>75.92471</v>
      </c>
      <c r="R95" s="16">
        <v>80.12355</v>
      </c>
      <c r="S95" s="16">
        <v>83.1147</v>
      </c>
      <c r="T95" s="16">
        <v>72.64256</v>
      </c>
    </row>
    <row r="96">
      <c r="A96" s="15">
        <v>45933.0</v>
      </c>
      <c r="B96" s="16">
        <v>88.42319</v>
      </c>
      <c r="C96" s="16">
        <v>91.87504</v>
      </c>
      <c r="D96" s="16">
        <v>83.76263</v>
      </c>
      <c r="E96" s="16">
        <v>86.9209</v>
      </c>
      <c r="F96" s="16">
        <v>84.83215</v>
      </c>
      <c r="G96" s="16">
        <v>87.48906</v>
      </c>
      <c r="H96" s="16">
        <v>72.01842</v>
      </c>
      <c r="I96" s="16">
        <v>83.30495</v>
      </c>
      <c r="J96" s="16">
        <v>84.43257</v>
      </c>
      <c r="K96" s="16">
        <v>79.74177</v>
      </c>
      <c r="L96" s="16">
        <v>79.9347</v>
      </c>
      <c r="M96" s="16">
        <v>72.68844</v>
      </c>
      <c r="N96" s="16">
        <v>74.8659</v>
      </c>
      <c r="O96" s="16">
        <v>77.82256</v>
      </c>
      <c r="P96" s="16">
        <v>66.02133</v>
      </c>
      <c r="Q96" s="16">
        <v>73.19292</v>
      </c>
      <c r="R96" s="16">
        <v>82.22874</v>
      </c>
      <c r="S96" s="16">
        <v>84.77992</v>
      </c>
      <c r="T96" s="16">
        <v>66.83529</v>
      </c>
    </row>
    <row r="97">
      <c r="A97" s="15">
        <v>45934.0</v>
      </c>
      <c r="B97" s="16">
        <v>65.51275</v>
      </c>
      <c r="C97" s="16">
        <v>73.49192</v>
      </c>
      <c r="D97" s="16">
        <v>80.32162</v>
      </c>
      <c r="E97" s="16">
        <v>78.04563</v>
      </c>
      <c r="F97" s="16">
        <v>78.34437</v>
      </c>
      <c r="G97" s="16">
        <v>82.39024</v>
      </c>
      <c r="H97" s="16">
        <v>65.90377</v>
      </c>
      <c r="I97" s="16">
        <v>82.60847</v>
      </c>
      <c r="J97" s="16">
        <v>85.33311</v>
      </c>
      <c r="K97" s="16">
        <v>83.31499</v>
      </c>
      <c r="L97" s="16">
        <v>79.74191</v>
      </c>
      <c r="M97" s="16">
        <v>79.9452</v>
      </c>
      <c r="N97" s="16">
        <v>77.13752</v>
      </c>
      <c r="O97" s="16">
        <v>71.94655</v>
      </c>
      <c r="P97" s="16">
        <v>73.60669</v>
      </c>
      <c r="Q97" s="16">
        <v>74.82885</v>
      </c>
      <c r="R97" s="16">
        <v>84.52765</v>
      </c>
      <c r="S97" s="16">
        <v>82.89657</v>
      </c>
      <c r="T97" s="16">
        <v>66.52752</v>
      </c>
    </row>
    <row r="98">
      <c r="A98" s="15">
        <v>45935.0</v>
      </c>
      <c r="B98" s="16">
        <v>69.77949</v>
      </c>
      <c r="C98" s="16">
        <v>74.85992</v>
      </c>
      <c r="D98" s="16">
        <v>69.61339</v>
      </c>
      <c r="E98" s="16">
        <v>78.14382</v>
      </c>
      <c r="F98" s="16">
        <v>77.77499</v>
      </c>
      <c r="G98" s="16">
        <v>80.37722</v>
      </c>
      <c r="H98" s="16">
        <v>72.96918</v>
      </c>
      <c r="I98" s="16">
        <v>79.9908</v>
      </c>
      <c r="J98" s="16">
        <v>83.90111</v>
      </c>
      <c r="K98" s="16">
        <v>82.0122</v>
      </c>
      <c r="L98" s="16">
        <v>78.85634</v>
      </c>
      <c r="M98" s="16">
        <v>81.30774</v>
      </c>
      <c r="N98" s="16">
        <v>74.11801</v>
      </c>
      <c r="O98" s="16">
        <v>65.82934</v>
      </c>
      <c r="P98" s="16">
        <v>76.91659</v>
      </c>
      <c r="Q98" s="16">
        <v>78.58733</v>
      </c>
      <c r="R98" s="16">
        <v>83.06187</v>
      </c>
      <c r="S98" s="16">
        <v>69.38644</v>
      </c>
      <c r="T98" s="16">
        <v>71.27533</v>
      </c>
    </row>
    <row r="99">
      <c r="A99" s="15">
        <v>45936.0</v>
      </c>
      <c r="B99" s="16">
        <v>75.23323</v>
      </c>
      <c r="C99" s="16">
        <v>76.67307</v>
      </c>
      <c r="D99" s="16">
        <v>66.65535</v>
      </c>
      <c r="E99" s="16">
        <v>75.69908</v>
      </c>
      <c r="F99" s="16">
        <v>72.20267</v>
      </c>
      <c r="G99" s="16">
        <v>77.64728</v>
      </c>
      <c r="H99" s="16">
        <v>69.5532</v>
      </c>
      <c r="I99" s="16">
        <v>73.34332</v>
      </c>
      <c r="J99" s="16">
        <v>75.67862</v>
      </c>
      <c r="K99" s="16">
        <v>78.17905</v>
      </c>
      <c r="L99" s="16">
        <v>72.49814</v>
      </c>
      <c r="M99" s="16">
        <v>76.20939</v>
      </c>
      <c r="N99" s="16">
        <v>60.75813</v>
      </c>
      <c r="O99" s="16">
        <v>67.97246</v>
      </c>
      <c r="P99" s="16">
        <v>80.50562</v>
      </c>
      <c r="Q99" s="16">
        <v>79.22724</v>
      </c>
      <c r="R99" s="16">
        <v>82.14221</v>
      </c>
      <c r="S99" s="16">
        <v>69.10804</v>
      </c>
      <c r="T99" s="16">
        <v>72.61174</v>
      </c>
    </row>
    <row r="100">
      <c r="A100" s="15">
        <v>45937.0</v>
      </c>
      <c r="B100" s="16">
        <v>75.73464</v>
      </c>
      <c r="C100" s="16">
        <v>70.16692</v>
      </c>
      <c r="D100" s="16">
        <v>68.73316</v>
      </c>
      <c r="E100" s="16">
        <v>73.10407</v>
      </c>
      <c r="F100" s="16">
        <v>69.00297</v>
      </c>
      <c r="G100" s="16">
        <v>81.6794</v>
      </c>
      <c r="H100" s="16">
        <v>69.53982</v>
      </c>
      <c r="I100" s="16">
        <v>70.40372</v>
      </c>
      <c r="J100" s="16">
        <v>69.83458</v>
      </c>
      <c r="K100" s="16">
        <v>74.56392</v>
      </c>
      <c r="L100" s="16">
        <v>76.52331</v>
      </c>
      <c r="M100" s="16">
        <v>77.14055</v>
      </c>
      <c r="N100" s="16">
        <v>64.43466</v>
      </c>
      <c r="O100" s="16">
        <v>69.11758</v>
      </c>
      <c r="P100" s="16">
        <v>80.10571</v>
      </c>
      <c r="Q100" s="16">
        <v>80.65568</v>
      </c>
      <c r="R100" s="16">
        <v>78.82567</v>
      </c>
      <c r="S100" s="16">
        <v>69.02616</v>
      </c>
      <c r="T100" s="16">
        <v>69.75599</v>
      </c>
    </row>
    <row r="101">
      <c r="A101" s="15">
        <v>45938.0</v>
      </c>
      <c r="B101" s="16">
        <v>97.92898</v>
      </c>
      <c r="C101" s="16">
        <v>91.34174</v>
      </c>
      <c r="D101" s="16">
        <v>77.66899</v>
      </c>
      <c r="E101" s="16">
        <v>72.63067</v>
      </c>
      <c r="F101" s="16">
        <v>70.33355</v>
      </c>
      <c r="G101" s="16">
        <v>84.61052</v>
      </c>
      <c r="H101" s="16">
        <v>73.34185</v>
      </c>
      <c r="I101" s="16">
        <v>74.15163</v>
      </c>
      <c r="J101" s="16">
        <v>70.7583</v>
      </c>
      <c r="K101" s="16">
        <v>72.37741</v>
      </c>
      <c r="L101" s="16">
        <v>80.77624</v>
      </c>
      <c r="M101" s="16">
        <v>79.42373</v>
      </c>
      <c r="N101" s="16">
        <v>70.53281</v>
      </c>
      <c r="O101" s="16">
        <v>72.36251</v>
      </c>
      <c r="P101" s="16">
        <v>74.28927</v>
      </c>
      <c r="Q101" s="16">
        <v>68.22398</v>
      </c>
      <c r="R101" s="16">
        <v>73.14391</v>
      </c>
      <c r="S101" s="16">
        <v>75.89067</v>
      </c>
      <c r="T101" s="16">
        <v>74.87035</v>
      </c>
    </row>
    <row r="102">
      <c r="A102" s="15">
        <v>45939.0</v>
      </c>
      <c r="B102" s="16">
        <v>79.4271</v>
      </c>
      <c r="C102" s="16">
        <v>72.09525</v>
      </c>
      <c r="D102" s="16">
        <v>74.81644</v>
      </c>
      <c r="E102" s="16">
        <v>61.60197</v>
      </c>
      <c r="F102" s="16">
        <v>79.02443</v>
      </c>
      <c r="G102" s="16">
        <v>73.98144</v>
      </c>
      <c r="H102" s="16">
        <v>72.67626</v>
      </c>
      <c r="I102" s="16">
        <v>73.09168</v>
      </c>
      <c r="J102" s="16">
        <v>71.74247</v>
      </c>
      <c r="K102" s="16">
        <v>70.78646</v>
      </c>
      <c r="L102" s="16">
        <v>82.72414</v>
      </c>
      <c r="M102" s="16">
        <v>74.15799</v>
      </c>
      <c r="N102" s="16">
        <v>78.18346</v>
      </c>
      <c r="O102" s="16">
        <v>79.56441</v>
      </c>
      <c r="P102" s="16">
        <v>76.68337</v>
      </c>
      <c r="Q102" s="16">
        <v>62.93406</v>
      </c>
      <c r="R102" s="16">
        <v>73.15382</v>
      </c>
      <c r="S102" s="16">
        <v>84.18465</v>
      </c>
      <c r="T102" s="16">
        <v>79.43815</v>
      </c>
    </row>
    <row r="103">
      <c r="A103" s="15">
        <v>45940.0</v>
      </c>
      <c r="B103" s="16">
        <v>81.93967</v>
      </c>
      <c r="C103" s="16">
        <v>74.05758</v>
      </c>
      <c r="D103" s="16">
        <v>74.77611</v>
      </c>
      <c r="E103" s="16">
        <v>59.06771</v>
      </c>
      <c r="F103" s="16">
        <v>74.68715</v>
      </c>
      <c r="G103" s="16">
        <v>75.3788</v>
      </c>
      <c r="H103" s="16">
        <v>80.11502</v>
      </c>
      <c r="I103" s="16">
        <v>77.35838</v>
      </c>
      <c r="J103" s="16">
        <v>75.33646</v>
      </c>
      <c r="K103" s="16">
        <v>81.68328</v>
      </c>
      <c r="L103" s="16">
        <v>84.95568</v>
      </c>
      <c r="M103" s="16">
        <v>77.61334</v>
      </c>
      <c r="N103" s="16">
        <v>85.28014</v>
      </c>
      <c r="O103" s="16">
        <v>81.91584</v>
      </c>
      <c r="P103" s="16">
        <v>72.05935</v>
      </c>
      <c r="Q103" s="16">
        <v>66.20921</v>
      </c>
      <c r="R103" s="16">
        <v>73.58118</v>
      </c>
      <c r="S103" s="16">
        <v>84.68715</v>
      </c>
      <c r="T103" s="16">
        <v>79.66666</v>
      </c>
    </row>
    <row r="104">
      <c r="A104" s="15">
        <v>45941.0</v>
      </c>
      <c r="B104" s="16">
        <v>79.04836</v>
      </c>
      <c r="C104" s="16">
        <v>71.03956</v>
      </c>
      <c r="D104" s="16">
        <v>72.32002</v>
      </c>
      <c r="E104" s="16">
        <v>62.43925</v>
      </c>
      <c r="F104" s="16">
        <v>74.45123</v>
      </c>
      <c r="G104" s="16">
        <v>73.17598</v>
      </c>
      <c r="H104" s="16">
        <v>78.92511</v>
      </c>
      <c r="I104" s="16">
        <v>75.43825</v>
      </c>
      <c r="J104" s="16">
        <v>80.39657</v>
      </c>
      <c r="K104" s="16">
        <v>84.5182</v>
      </c>
      <c r="L104" s="16">
        <v>85.68805</v>
      </c>
      <c r="M104" s="16">
        <v>77.43531</v>
      </c>
      <c r="N104" s="16">
        <v>78.30017</v>
      </c>
      <c r="O104" s="16">
        <v>87.20609</v>
      </c>
      <c r="P104" s="16">
        <v>70.84591</v>
      </c>
      <c r="Q104" s="16">
        <v>71.79004</v>
      </c>
      <c r="R104" s="16">
        <v>78.1578</v>
      </c>
      <c r="S104" s="16">
        <v>84.70744</v>
      </c>
      <c r="T104" s="16">
        <v>73.08558</v>
      </c>
    </row>
    <row r="105">
      <c r="A105" s="15">
        <v>45942.0</v>
      </c>
      <c r="B105" s="16">
        <v>81.01147</v>
      </c>
      <c r="C105" s="16">
        <v>74.60169</v>
      </c>
      <c r="D105" s="16">
        <v>70.97602</v>
      </c>
      <c r="E105" s="16">
        <v>65.95424</v>
      </c>
      <c r="F105" s="16">
        <v>72.34897</v>
      </c>
      <c r="G105" s="16">
        <v>74.98044</v>
      </c>
      <c r="H105" s="16">
        <v>69.88479</v>
      </c>
      <c r="I105" s="16">
        <v>80.43037</v>
      </c>
      <c r="J105" s="16">
        <v>83.51197</v>
      </c>
      <c r="K105" s="16">
        <v>81.23291</v>
      </c>
      <c r="L105" s="16">
        <v>71.8254</v>
      </c>
      <c r="M105" s="16">
        <v>80.29448</v>
      </c>
      <c r="N105" s="16">
        <v>79.10929</v>
      </c>
      <c r="O105" s="16">
        <v>85.57657</v>
      </c>
      <c r="P105" s="16">
        <v>65.22364</v>
      </c>
      <c r="Q105" s="16">
        <v>75.03907</v>
      </c>
      <c r="R105" s="16">
        <v>80.00063</v>
      </c>
      <c r="S105" s="16">
        <v>86.88127</v>
      </c>
      <c r="T105" s="16">
        <v>73.67625</v>
      </c>
    </row>
    <row r="106">
      <c r="A106" s="15">
        <v>45943.0</v>
      </c>
      <c r="B106" s="16">
        <v>83.66114</v>
      </c>
      <c r="C106" s="16">
        <v>80.47821</v>
      </c>
      <c r="D106" s="16">
        <v>72.71636</v>
      </c>
      <c r="E106" s="16">
        <v>71.35829</v>
      </c>
      <c r="F106" s="16">
        <v>76.11014</v>
      </c>
      <c r="G106" s="16">
        <v>80.17191</v>
      </c>
      <c r="H106" s="16">
        <v>72.32017</v>
      </c>
      <c r="I106" s="16">
        <v>72.07342</v>
      </c>
      <c r="J106" s="16">
        <v>73.64277</v>
      </c>
      <c r="K106" s="16">
        <v>73.61245</v>
      </c>
      <c r="L106" s="16">
        <v>70.7928</v>
      </c>
      <c r="M106" s="16">
        <v>77.61082</v>
      </c>
      <c r="N106" s="16">
        <v>70.50576</v>
      </c>
      <c r="O106" s="16">
        <v>85.25701</v>
      </c>
      <c r="P106" s="16">
        <v>73.79887</v>
      </c>
      <c r="Q106" s="16">
        <v>79.48784</v>
      </c>
      <c r="R106" s="16">
        <v>80.70242</v>
      </c>
      <c r="S106" s="16">
        <v>85.74193</v>
      </c>
      <c r="T106" s="16">
        <v>75.55797</v>
      </c>
    </row>
    <row r="107">
      <c r="A107" s="15">
        <v>45944.0</v>
      </c>
      <c r="B107" s="16">
        <v>87.20402</v>
      </c>
      <c r="C107" s="16">
        <v>81.51154</v>
      </c>
      <c r="D107" s="16">
        <v>68.77175</v>
      </c>
      <c r="E107" s="16">
        <v>78.74796</v>
      </c>
      <c r="F107" s="16">
        <v>80.77681</v>
      </c>
      <c r="G107" s="16">
        <v>81.19098</v>
      </c>
      <c r="H107" s="16">
        <v>75.32337</v>
      </c>
      <c r="I107" s="16">
        <v>65.34888</v>
      </c>
      <c r="J107" s="16">
        <v>75.68689</v>
      </c>
      <c r="K107" s="16">
        <v>65.53957</v>
      </c>
      <c r="L107" s="16">
        <v>75.70863</v>
      </c>
      <c r="M107" s="16">
        <v>79.80876</v>
      </c>
      <c r="N107" s="16">
        <v>74.92618</v>
      </c>
      <c r="O107" s="16">
        <v>82.13486</v>
      </c>
      <c r="P107" s="16">
        <v>73.46367</v>
      </c>
      <c r="Q107" s="16">
        <v>76.75924</v>
      </c>
      <c r="R107" s="16">
        <v>82.79972</v>
      </c>
      <c r="S107" s="16">
        <v>84.98799</v>
      </c>
      <c r="T107" s="16">
        <v>76.93396</v>
      </c>
    </row>
    <row r="108">
      <c r="A108" s="15">
        <v>45945.0</v>
      </c>
      <c r="B108" s="16">
        <v>76.49648</v>
      </c>
      <c r="C108" s="16">
        <v>80.40321</v>
      </c>
      <c r="D108" s="16">
        <v>77.167</v>
      </c>
      <c r="E108" s="16">
        <v>78.34691</v>
      </c>
      <c r="F108" s="16">
        <v>79.54304</v>
      </c>
      <c r="G108" s="16">
        <v>75.31726</v>
      </c>
      <c r="H108" s="16">
        <v>78.85352</v>
      </c>
      <c r="I108" s="16">
        <v>62.90333</v>
      </c>
      <c r="J108" s="16">
        <v>76.62933</v>
      </c>
      <c r="K108" s="16">
        <v>67.25265</v>
      </c>
      <c r="L108" s="16">
        <v>76.49788</v>
      </c>
      <c r="M108" s="16">
        <v>79.04255</v>
      </c>
      <c r="N108" s="16">
        <v>68.50683</v>
      </c>
      <c r="O108" s="16">
        <v>75.87814</v>
      </c>
      <c r="P108" s="16">
        <v>77.96724</v>
      </c>
      <c r="Q108" s="16">
        <v>78.76582</v>
      </c>
      <c r="R108" s="16">
        <v>80.38823</v>
      </c>
      <c r="S108" s="16">
        <v>78.41254</v>
      </c>
      <c r="T108" s="16">
        <v>77.78777</v>
      </c>
    </row>
    <row r="109">
      <c r="A109" s="15">
        <v>45946.0</v>
      </c>
      <c r="B109" s="16">
        <v>66.57824</v>
      </c>
      <c r="C109" s="16">
        <v>79.30914</v>
      </c>
      <c r="D109" s="16">
        <v>74.26582</v>
      </c>
      <c r="E109" s="16">
        <v>78.77145</v>
      </c>
      <c r="F109" s="16">
        <v>78.40015</v>
      </c>
      <c r="G109" s="16">
        <v>62.55777</v>
      </c>
      <c r="H109" s="16">
        <v>76.29711</v>
      </c>
      <c r="I109" s="16">
        <v>67.44024</v>
      </c>
      <c r="J109" s="16">
        <v>84.27571</v>
      </c>
      <c r="K109" s="16">
        <v>72.89344</v>
      </c>
      <c r="L109" s="16">
        <v>77.79146</v>
      </c>
      <c r="M109" s="16">
        <v>79.93965</v>
      </c>
      <c r="N109" s="16">
        <v>63.38101</v>
      </c>
      <c r="O109" s="16">
        <v>78.20298</v>
      </c>
      <c r="P109" s="16">
        <v>79.3173</v>
      </c>
      <c r="Q109" s="16">
        <v>78.16597</v>
      </c>
      <c r="R109" s="16">
        <v>72.25803</v>
      </c>
      <c r="S109" s="16">
        <v>75.24182</v>
      </c>
      <c r="T109" s="16">
        <v>83.84604</v>
      </c>
    </row>
    <row r="110">
      <c r="A110" s="15">
        <v>45947.0</v>
      </c>
      <c r="B110" s="16">
        <v>62.23394</v>
      </c>
      <c r="C110" s="16">
        <v>83.25716</v>
      </c>
      <c r="D110" s="16">
        <v>79.83888</v>
      </c>
      <c r="E110" s="16">
        <v>82.80429</v>
      </c>
      <c r="F110" s="16">
        <v>69.92529</v>
      </c>
      <c r="G110" s="16">
        <v>68.57114</v>
      </c>
      <c r="H110" s="16">
        <v>75.4973</v>
      </c>
      <c r="I110" s="16">
        <v>71.1566</v>
      </c>
      <c r="J110" s="16">
        <v>80.22816</v>
      </c>
      <c r="K110" s="16">
        <v>65.77761</v>
      </c>
      <c r="L110" s="16">
        <v>82.72396</v>
      </c>
      <c r="M110" s="16">
        <v>88.30556</v>
      </c>
      <c r="N110" s="16">
        <v>63.41339</v>
      </c>
      <c r="O110" s="16">
        <v>76.22848</v>
      </c>
      <c r="P110" s="16">
        <v>83.15989</v>
      </c>
      <c r="Q110" s="16">
        <v>75.55706</v>
      </c>
      <c r="R110" s="16">
        <v>74.3189</v>
      </c>
      <c r="S110" s="16">
        <v>71.826</v>
      </c>
      <c r="T110" s="16">
        <v>82.21082</v>
      </c>
    </row>
    <row r="111">
      <c r="A111" s="15">
        <v>45948.0</v>
      </c>
      <c r="B111" s="16">
        <v>48.71918</v>
      </c>
      <c r="C111" s="16">
        <v>65.55492</v>
      </c>
      <c r="D111" s="16">
        <v>70.34012</v>
      </c>
      <c r="E111" s="16">
        <v>71.45083</v>
      </c>
      <c r="F111" s="16">
        <v>56.26875</v>
      </c>
      <c r="G111" s="16">
        <v>62.19317</v>
      </c>
      <c r="H111" s="16">
        <v>69.38271</v>
      </c>
      <c r="I111" s="16">
        <v>74.25735</v>
      </c>
      <c r="J111" s="16">
        <v>76.25186</v>
      </c>
      <c r="K111" s="16">
        <v>70.82246</v>
      </c>
      <c r="L111" s="16">
        <v>84.04018</v>
      </c>
      <c r="M111" s="16">
        <v>76.0006</v>
      </c>
      <c r="N111" s="16">
        <v>57.84688</v>
      </c>
      <c r="O111" s="16">
        <v>83.3871</v>
      </c>
      <c r="P111" s="16">
        <v>87.1022</v>
      </c>
      <c r="Q111" s="16">
        <v>76.02097</v>
      </c>
      <c r="R111" s="16">
        <v>73.30811</v>
      </c>
      <c r="S111" s="16">
        <v>78.17749</v>
      </c>
      <c r="T111" s="16">
        <v>72.89454</v>
      </c>
    </row>
    <row r="112">
      <c r="A112" s="15">
        <v>45949.0</v>
      </c>
      <c r="B112" s="16">
        <v>55.83264</v>
      </c>
      <c r="C112" s="16">
        <v>70.34621</v>
      </c>
      <c r="D112" s="16">
        <v>67.17309</v>
      </c>
      <c r="E112" s="16">
        <v>73.11094</v>
      </c>
      <c r="F112" s="16">
        <v>55.5542</v>
      </c>
      <c r="G112" s="16">
        <v>61.84018</v>
      </c>
      <c r="H112" s="16">
        <v>66.30918</v>
      </c>
      <c r="I112" s="16">
        <v>71.65431</v>
      </c>
      <c r="J112" s="16">
        <v>77.11121</v>
      </c>
      <c r="K112" s="16">
        <v>72.86829</v>
      </c>
      <c r="L112" s="16">
        <v>76.70326</v>
      </c>
      <c r="M112" s="16">
        <v>68.7097</v>
      </c>
      <c r="N112" s="16">
        <v>55.74443</v>
      </c>
      <c r="O112" s="16">
        <v>81.32127</v>
      </c>
      <c r="P112" s="16">
        <v>85.18715</v>
      </c>
      <c r="Q112" s="16">
        <v>75.11746</v>
      </c>
      <c r="R112" s="16">
        <v>73.51647</v>
      </c>
      <c r="S112" s="16">
        <v>74.98824</v>
      </c>
      <c r="T112" s="16">
        <v>66.6271</v>
      </c>
    </row>
    <row r="113">
      <c r="A113" s="15">
        <v>45950.0</v>
      </c>
      <c r="B113" s="16">
        <v>69.54085</v>
      </c>
      <c r="C113" s="16">
        <v>80.36262</v>
      </c>
      <c r="D113" s="16">
        <v>65.10656</v>
      </c>
      <c r="E113" s="16">
        <v>70.91356</v>
      </c>
      <c r="F113" s="16">
        <v>64.10613</v>
      </c>
      <c r="G113" s="16">
        <v>65.27272</v>
      </c>
      <c r="H113" s="16">
        <v>69.12831</v>
      </c>
      <c r="I113" s="16">
        <v>66.35085</v>
      </c>
      <c r="J113" s="16">
        <v>79.87476</v>
      </c>
      <c r="K113" s="16">
        <v>73.224</v>
      </c>
      <c r="L113" s="16">
        <v>72.96609</v>
      </c>
      <c r="M113" s="16">
        <v>63.56474</v>
      </c>
      <c r="N113" s="16">
        <v>57.82739</v>
      </c>
      <c r="O113" s="16">
        <v>81.41995</v>
      </c>
      <c r="P113" s="16">
        <v>71.73456</v>
      </c>
      <c r="Q113" s="16">
        <v>73.44263</v>
      </c>
      <c r="R113" s="16">
        <v>66.22051</v>
      </c>
      <c r="S113" s="16">
        <v>76.35744</v>
      </c>
      <c r="T113" s="16">
        <v>67.28402</v>
      </c>
    </row>
    <row r="114">
      <c r="A114" s="15">
        <v>45951.0</v>
      </c>
      <c r="B114" s="16">
        <v>80.84814</v>
      </c>
      <c r="C114" s="16">
        <v>85.42681</v>
      </c>
      <c r="D114" s="16">
        <v>68.84402</v>
      </c>
      <c r="E114" s="16">
        <v>79.46164</v>
      </c>
      <c r="F114" s="16">
        <v>77.08977</v>
      </c>
      <c r="G114" s="16">
        <v>74.26057</v>
      </c>
      <c r="H114" s="16">
        <v>76.54578</v>
      </c>
      <c r="I114" s="16">
        <v>70.67678</v>
      </c>
      <c r="J114" s="16">
        <v>82.70073</v>
      </c>
      <c r="K114" s="16">
        <v>69.95789</v>
      </c>
      <c r="L114" s="16">
        <v>74.52852</v>
      </c>
      <c r="M114" s="16">
        <v>65.69692</v>
      </c>
      <c r="N114" s="16">
        <v>65.89353</v>
      </c>
      <c r="O114" s="16">
        <v>78.76664</v>
      </c>
      <c r="P114" s="16">
        <v>64.78199</v>
      </c>
      <c r="Q114" s="16">
        <v>75.6131</v>
      </c>
      <c r="R114" s="16">
        <v>73.1034</v>
      </c>
      <c r="S114" s="16">
        <v>77.48832</v>
      </c>
      <c r="T114" s="16">
        <v>73.69847</v>
      </c>
    </row>
    <row r="115">
      <c r="A115" s="15">
        <v>45952.0</v>
      </c>
      <c r="B115" s="16">
        <v>75.73753</v>
      </c>
      <c r="C115" s="16">
        <v>78.66071</v>
      </c>
      <c r="D115" s="16">
        <v>66.40577</v>
      </c>
      <c r="E115" s="16">
        <v>79.69846</v>
      </c>
      <c r="F115" s="16">
        <v>82.33572</v>
      </c>
      <c r="G115" s="16">
        <v>75.18913</v>
      </c>
      <c r="H115" s="16">
        <v>82.87844</v>
      </c>
      <c r="I115" s="16">
        <v>71.00583</v>
      </c>
      <c r="J115" s="16">
        <v>79.63895</v>
      </c>
      <c r="K115" s="16">
        <v>65.94361</v>
      </c>
      <c r="L115" s="16">
        <v>74.50421</v>
      </c>
      <c r="M115" s="16">
        <v>66.27899</v>
      </c>
      <c r="N115" s="16">
        <v>64.71422</v>
      </c>
      <c r="O115" s="16">
        <v>75.91202</v>
      </c>
      <c r="P115" s="16">
        <v>60.11502</v>
      </c>
      <c r="Q115" s="16">
        <v>74.42709</v>
      </c>
      <c r="R115" s="16">
        <v>71.81868</v>
      </c>
      <c r="S115" s="16">
        <v>76.24696</v>
      </c>
      <c r="T115" s="16">
        <v>73.08186</v>
      </c>
    </row>
    <row r="116">
      <c r="A116" s="15">
        <v>45953.0</v>
      </c>
      <c r="B116" s="16">
        <v>54.74937</v>
      </c>
      <c r="C116" s="16">
        <v>61.05767</v>
      </c>
      <c r="D116" s="16">
        <v>67.24244</v>
      </c>
      <c r="E116" s="16">
        <v>72.14868</v>
      </c>
      <c r="F116" s="16">
        <v>74.45536</v>
      </c>
      <c r="G116" s="16">
        <v>63.33672</v>
      </c>
      <c r="H116" s="16">
        <v>76.64893</v>
      </c>
      <c r="I116" s="16">
        <v>70.63877</v>
      </c>
      <c r="J116" s="16">
        <v>69.04091</v>
      </c>
      <c r="K116" s="16">
        <v>69.2619</v>
      </c>
      <c r="L116" s="16">
        <v>69.1827</v>
      </c>
      <c r="M116" s="16">
        <v>66.7835</v>
      </c>
      <c r="N116" s="16">
        <v>68.84204</v>
      </c>
      <c r="O116" s="16">
        <v>73.98396</v>
      </c>
      <c r="P116" s="16">
        <v>62.0039</v>
      </c>
      <c r="Q116" s="16">
        <v>74.15002</v>
      </c>
      <c r="R116" s="16">
        <v>66.50222</v>
      </c>
      <c r="S116" s="16">
        <v>68.51944</v>
      </c>
      <c r="T116" s="16">
        <v>75.45623</v>
      </c>
    </row>
    <row r="117">
      <c r="A117" s="15">
        <v>45954.0</v>
      </c>
      <c r="B117" s="16">
        <v>64.28048</v>
      </c>
      <c r="C117" s="16">
        <v>64.18842</v>
      </c>
      <c r="D117" s="16">
        <v>63.56124</v>
      </c>
      <c r="E117" s="16">
        <v>78.32638</v>
      </c>
      <c r="F117" s="16">
        <v>81.76631</v>
      </c>
      <c r="G117" s="16">
        <v>61.48263</v>
      </c>
      <c r="H117" s="16">
        <v>80.8534</v>
      </c>
      <c r="I117" s="16">
        <v>71.57859</v>
      </c>
      <c r="J117" s="16">
        <v>71.47331</v>
      </c>
      <c r="K117" s="16">
        <v>56.83025</v>
      </c>
      <c r="L117" s="16">
        <v>78.58111</v>
      </c>
      <c r="M117" s="16">
        <v>58.55848</v>
      </c>
      <c r="N117" s="16">
        <v>65.91447</v>
      </c>
      <c r="O117" s="16">
        <v>70.28617</v>
      </c>
      <c r="P117" s="16">
        <v>64.10124</v>
      </c>
      <c r="Q117" s="16">
        <v>73.69767</v>
      </c>
      <c r="R117" s="16">
        <v>61.49718</v>
      </c>
      <c r="S117" s="16">
        <v>69.82569</v>
      </c>
      <c r="T117" s="16">
        <v>78.2733</v>
      </c>
    </row>
    <row r="118">
      <c r="A118" s="15">
        <v>45955.0</v>
      </c>
      <c r="B118" s="16">
        <v>62.84175</v>
      </c>
      <c r="C118" s="16">
        <v>72.47887</v>
      </c>
      <c r="D118" s="16">
        <v>62.55213</v>
      </c>
      <c r="E118" s="16">
        <v>79.40615</v>
      </c>
      <c r="F118" s="16">
        <v>83.62297</v>
      </c>
      <c r="G118" s="16">
        <v>67.81256</v>
      </c>
      <c r="H118" s="16">
        <v>74.6487</v>
      </c>
      <c r="I118" s="16">
        <v>72.81909</v>
      </c>
      <c r="J118" s="16">
        <v>62.34151</v>
      </c>
      <c r="K118" s="16">
        <v>58.88872</v>
      </c>
      <c r="L118" s="16">
        <v>67.59641</v>
      </c>
      <c r="M118" s="16">
        <v>60.25445</v>
      </c>
      <c r="N118" s="16">
        <v>75.05747</v>
      </c>
      <c r="O118" s="16">
        <v>81.68864</v>
      </c>
      <c r="P118" s="16">
        <v>70.83027</v>
      </c>
      <c r="Q118" s="16">
        <v>77.25954</v>
      </c>
      <c r="R118" s="16">
        <v>63.98799</v>
      </c>
      <c r="S118" s="16">
        <v>69.45414</v>
      </c>
      <c r="T118" s="16">
        <v>74.35348</v>
      </c>
    </row>
    <row r="119">
      <c r="A119" s="15">
        <v>45956.0</v>
      </c>
      <c r="B119" s="16">
        <v>72.87474</v>
      </c>
      <c r="C119" s="16">
        <v>73.16935</v>
      </c>
      <c r="D119" s="16">
        <v>63.23398</v>
      </c>
      <c r="E119" s="16">
        <v>79.11577</v>
      </c>
      <c r="F119" s="16">
        <v>76.66589</v>
      </c>
      <c r="G119" s="16">
        <v>62.2807</v>
      </c>
      <c r="H119" s="16">
        <v>76.05719</v>
      </c>
      <c r="I119" s="16">
        <v>77.38524</v>
      </c>
      <c r="J119" s="16">
        <v>57.2133</v>
      </c>
      <c r="K119" s="16">
        <v>59.27248</v>
      </c>
      <c r="L119" s="16">
        <v>67.59135</v>
      </c>
      <c r="M119" s="16">
        <v>70.55272</v>
      </c>
      <c r="N119" s="16">
        <v>72.70234</v>
      </c>
      <c r="O119" s="16">
        <v>82.72033</v>
      </c>
      <c r="P119" s="16">
        <v>80.72747</v>
      </c>
      <c r="Q119" s="16">
        <v>83.66667</v>
      </c>
      <c r="R119" s="16">
        <v>61.94611</v>
      </c>
      <c r="S119" s="16">
        <v>79.17236</v>
      </c>
      <c r="T119" s="16">
        <v>76.29092</v>
      </c>
    </row>
    <row r="120">
      <c r="A120" s="15">
        <v>45957.0</v>
      </c>
      <c r="B120" s="16">
        <v>71.63919</v>
      </c>
      <c r="C120" s="16">
        <v>74.32439</v>
      </c>
      <c r="D120" s="16">
        <v>64.10169</v>
      </c>
      <c r="E120" s="16">
        <v>74.53788</v>
      </c>
      <c r="F120" s="16">
        <v>68.04062</v>
      </c>
      <c r="G120" s="16">
        <v>64.88274</v>
      </c>
      <c r="H120" s="16">
        <v>69.21285</v>
      </c>
      <c r="I120" s="16">
        <v>77.53701</v>
      </c>
      <c r="J120" s="16">
        <v>59.19225</v>
      </c>
      <c r="K120" s="16">
        <v>60.55571</v>
      </c>
      <c r="L120" s="16">
        <v>67.917</v>
      </c>
      <c r="M120" s="16">
        <v>69.96211</v>
      </c>
      <c r="N120" s="16">
        <v>65.18098</v>
      </c>
      <c r="O120" s="16">
        <v>82.33165</v>
      </c>
      <c r="P120" s="16">
        <v>74.54407</v>
      </c>
      <c r="Q120" s="16">
        <v>79.25647</v>
      </c>
      <c r="R120" s="16">
        <v>58.15061</v>
      </c>
      <c r="S120" s="16">
        <v>81.69161</v>
      </c>
      <c r="T120" s="16">
        <v>68.94343</v>
      </c>
    </row>
    <row r="121">
      <c r="A121" s="15">
        <v>45958.0</v>
      </c>
      <c r="B121" s="16">
        <v>67.90864</v>
      </c>
      <c r="C121" s="16">
        <v>83.7286</v>
      </c>
      <c r="D121" s="16">
        <v>75.62795</v>
      </c>
      <c r="E121" s="16">
        <v>78.28388</v>
      </c>
      <c r="F121" s="16">
        <v>57.86329</v>
      </c>
      <c r="G121" s="16">
        <v>71.69443</v>
      </c>
      <c r="H121" s="16">
        <v>69.68487</v>
      </c>
      <c r="I121" s="16">
        <v>82.16193</v>
      </c>
      <c r="J121" s="16">
        <v>62.43034</v>
      </c>
      <c r="K121" s="16">
        <v>63.97815</v>
      </c>
      <c r="L121" s="16">
        <v>65.77415</v>
      </c>
      <c r="M121" s="16">
        <v>62.26793</v>
      </c>
      <c r="N121" s="16">
        <v>61.03195</v>
      </c>
      <c r="O121" s="16">
        <v>80.63008</v>
      </c>
      <c r="P121" s="16">
        <v>79.91056</v>
      </c>
      <c r="Q121" s="16">
        <v>73.36289</v>
      </c>
      <c r="R121" s="16">
        <v>63.83154</v>
      </c>
      <c r="S121" s="16">
        <v>79.4645</v>
      </c>
      <c r="T121" s="16">
        <v>55.62316</v>
      </c>
    </row>
    <row r="122">
      <c r="A122" s="15">
        <v>45959.0</v>
      </c>
      <c r="B122" s="16">
        <v>60.33835</v>
      </c>
      <c r="C122" s="16">
        <v>85.07493</v>
      </c>
      <c r="D122" s="16">
        <v>77.86605</v>
      </c>
      <c r="E122" s="16">
        <v>82.70795</v>
      </c>
      <c r="F122" s="16">
        <v>57.26434</v>
      </c>
      <c r="G122" s="16">
        <v>76.99448</v>
      </c>
      <c r="H122" s="16">
        <v>63.29186</v>
      </c>
      <c r="I122" s="16">
        <v>85.50999</v>
      </c>
      <c r="J122" s="16">
        <v>66.90088</v>
      </c>
      <c r="K122" s="16">
        <v>67.56336</v>
      </c>
      <c r="L122" s="16">
        <v>73.94622</v>
      </c>
      <c r="M122" s="16">
        <v>56.11181</v>
      </c>
      <c r="N122" s="16">
        <v>72.78482</v>
      </c>
      <c r="O122" s="16">
        <v>79.76873</v>
      </c>
      <c r="P122" s="16">
        <v>78.43663</v>
      </c>
      <c r="Q122" s="16">
        <v>61.45383</v>
      </c>
      <c r="R122" s="16">
        <v>66.03378</v>
      </c>
      <c r="S122" s="16">
        <v>81.78931</v>
      </c>
      <c r="T122" s="16">
        <v>73.03021</v>
      </c>
    </row>
    <row r="123">
      <c r="A123" s="15">
        <v>45960.0</v>
      </c>
      <c r="B123" s="16">
        <v>62.73017</v>
      </c>
      <c r="C123" s="16">
        <v>80.28623</v>
      </c>
      <c r="D123" s="16">
        <v>75.73769</v>
      </c>
      <c r="E123" s="16">
        <v>80.44802</v>
      </c>
      <c r="F123" s="16">
        <v>64.7936</v>
      </c>
      <c r="G123" s="16">
        <v>79.7251</v>
      </c>
      <c r="H123" s="16">
        <v>69.71478</v>
      </c>
      <c r="I123" s="16">
        <v>80.67287</v>
      </c>
      <c r="J123" s="16">
        <v>68.75353</v>
      </c>
      <c r="K123" s="16">
        <v>74.93308</v>
      </c>
      <c r="L123" s="16">
        <v>69.13694</v>
      </c>
      <c r="M123" s="16">
        <v>63.18631</v>
      </c>
      <c r="N123" s="16">
        <v>79.18687</v>
      </c>
      <c r="O123" s="16">
        <v>73.66484</v>
      </c>
      <c r="P123" s="16">
        <v>69.19173</v>
      </c>
      <c r="Q123" s="16">
        <v>63.83377</v>
      </c>
      <c r="R123" s="16">
        <v>77.44226</v>
      </c>
      <c r="S123" s="16">
        <v>79.67961</v>
      </c>
      <c r="T123" s="16">
        <v>74.11555</v>
      </c>
    </row>
    <row r="124">
      <c r="A124" s="15">
        <v>45961.0</v>
      </c>
      <c r="B124" s="16">
        <v>63.83046</v>
      </c>
      <c r="C124" s="16">
        <v>78.85423</v>
      </c>
      <c r="D124" s="16">
        <v>72.35307</v>
      </c>
      <c r="E124" s="16">
        <v>75.98847</v>
      </c>
      <c r="F124" s="16">
        <v>68.53345</v>
      </c>
      <c r="G124" s="16">
        <v>69.9463</v>
      </c>
      <c r="H124" s="16">
        <v>72.87967</v>
      </c>
      <c r="I124" s="17">
        <v>76.16107</v>
      </c>
      <c r="J124" s="16">
        <v>67.97415</v>
      </c>
      <c r="K124" s="16">
        <v>73.08971</v>
      </c>
      <c r="L124" s="16">
        <v>66.49032</v>
      </c>
      <c r="M124" s="16">
        <v>64.55886</v>
      </c>
      <c r="N124" s="16">
        <v>70.776</v>
      </c>
      <c r="O124" s="16">
        <v>74.62618</v>
      </c>
      <c r="P124" s="16">
        <v>67.14295</v>
      </c>
      <c r="Q124" s="16">
        <v>63.30258</v>
      </c>
      <c r="R124" s="16">
        <v>84.47681</v>
      </c>
      <c r="S124" s="16">
        <v>76.28772</v>
      </c>
      <c r="T124" s="16">
        <v>75.38342</v>
      </c>
    </row>
    <row r="125">
      <c r="A125" s="18" t="s">
        <v>21</v>
      </c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8.5"/>
  </cols>
  <sheetData>
    <row r="1">
      <c r="A1" s="20"/>
      <c r="B1" s="21"/>
      <c r="C1" s="22"/>
      <c r="D1" s="23" t="s">
        <v>22</v>
      </c>
      <c r="E1" s="24">
        <v>0.0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>
      <c r="A2" s="20"/>
      <c r="B2" s="20"/>
      <c r="C2" s="22"/>
      <c r="D2" s="23" t="s">
        <v>23</v>
      </c>
      <c r="E2" s="25" t="s">
        <v>24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>
      <c r="A3" s="20"/>
      <c r="B3" s="21"/>
      <c r="C3" s="22"/>
      <c r="D3" s="23" t="s">
        <v>25</v>
      </c>
      <c r="E3" s="24">
        <v>50.0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>
      <c r="A4" s="20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>
      <c r="A5" s="23"/>
      <c r="B5" s="24">
        <v>1997.0</v>
      </c>
      <c r="C5" s="26"/>
      <c r="D5" s="24">
        <v>1998.0</v>
      </c>
      <c r="E5" s="26"/>
      <c r="F5" s="24">
        <v>1999.0</v>
      </c>
      <c r="G5" s="26"/>
      <c r="H5" s="24">
        <v>2000.0</v>
      </c>
      <c r="I5" s="26"/>
      <c r="J5" s="24">
        <v>2001.0</v>
      </c>
      <c r="K5" s="26"/>
      <c r="L5" s="24">
        <v>2002.0</v>
      </c>
      <c r="M5" s="26"/>
      <c r="N5" s="24">
        <v>2003.0</v>
      </c>
      <c r="O5" s="26"/>
      <c r="P5" s="24">
        <v>2004.0</v>
      </c>
      <c r="Q5" s="26"/>
      <c r="R5" s="24">
        <v>2005.0</v>
      </c>
      <c r="S5" s="26"/>
      <c r="T5" s="24">
        <v>2006.0</v>
      </c>
      <c r="U5" s="26"/>
      <c r="V5" s="24">
        <v>2007.0</v>
      </c>
      <c r="W5" s="26"/>
      <c r="X5" s="24">
        <v>2008.0</v>
      </c>
      <c r="Y5" s="26"/>
      <c r="Z5" s="24">
        <v>2009.0</v>
      </c>
      <c r="AA5" s="26"/>
      <c r="AB5" s="24">
        <v>2010.0</v>
      </c>
      <c r="AC5" s="26"/>
      <c r="AD5" s="24">
        <v>2011.0</v>
      </c>
      <c r="AE5" s="26"/>
      <c r="AF5" s="24">
        <v>2012.0</v>
      </c>
      <c r="AG5" s="26"/>
      <c r="AH5" s="24">
        <v>2013.0</v>
      </c>
      <c r="AI5" s="26"/>
      <c r="AJ5" s="24">
        <v>2014.0</v>
      </c>
      <c r="AK5" s="26"/>
      <c r="AL5" s="24">
        <v>2015.0</v>
      </c>
      <c r="AM5" s="22"/>
    </row>
    <row r="6">
      <c r="A6" s="23" t="s">
        <v>26</v>
      </c>
      <c r="B6" s="27">
        <f>AVERAGE('Smoothed data'!B2:B63)</f>
        <v>86.49957355</v>
      </c>
      <c r="C6" s="26"/>
      <c r="D6" s="27">
        <f>AVERAGE('Smoothed data'!C2:C63)</f>
        <v>87.64779806</v>
      </c>
      <c r="E6" s="26"/>
      <c r="F6" s="27">
        <f>AVERAGE('Smoothed data'!D2:D63)</f>
        <v>89.62819613</v>
      </c>
      <c r="G6" s="26"/>
      <c r="H6" s="27">
        <f>AVERAGE('Smoothed data'!E2:E63)</f>
        <v>91.2406779</v>
      </c>
      <c r="I6" s="26"/>
      <c r="J6" s="27">
        <f>AVERAGE('Smoothed data'!F2:F63)</f>
        <v>86.78467839</v>
      </c>
      <c r="K6" s="26"/>
      <c r="L6" s="27">
        <f>AVERAGE('Smoothed data'!G2:G63)</f>
        <v>89.17678742</v>
      </c>
      <c r="M6" s="26"/>
      <c r="N6" s="27">
        <f>AVERAGE('Smoothed data'!H2:H63)</f>
        <v>85.73694952</v>
      </c>
      <c r="O6" s="26"/>
      <c r="P6" s="27">
        <f>AVERAGE('Smoothed data'!I2:I63)</f>
        <v>86.3676821</v>
      </c>
      <c r="Q6" s="26"/>
      <c r="R6" s="27">
        <f>AVERAGE('Smoothed data'!J2:J63)</f>
        <v>87.0319221</v>
      </c>
      <c r="S6" s="26"/>
      <c r="T6" s="27">
        <f>AVERAGE('Smoothed data'!K2:K63)</f>
        <v>89.77337823</v>
      </c>
      <c r="U6" s="26"/>
      <c r="V6" s="27">
        <f>AVERAGE('Smoothed data'!L2:L63)</f>
        <v>90.8811871</v>
      </c>
      <c r="W6" s="26"/>
      <c r="X6" s="27">
        <f>AVERAGE('Smoothed data'!M2:M63)</f>
        <v>87.36514048</v>
      </c>
      <c r="Y6" s="26"/>
      <c r="Z6" s="27">
        <f>AVERAGE('Smoothed data'!N2:N63)</f>
        <v>86.88036419</v>
      </c>
      <c r="AA6" s="26"/>
      <c r="AB6" s="27">
        <f>AVERAGE('Smoothed data'!O2:O63)</f>
        <v>90.93926161</v>
      </c>
      <c r="AC6" s="26"/>
      <c r="AD6" s="27">
        <f>AVERAGE('Smoothed data'!P2:P63)</f>
        <v>92.39233758</v>
      </c>
      <c r="AE6" s="26"/>
      <c r="AF6" s="27">
        <f>AVERAGE('Smoothed data'!Q2:Q63)</f>
        <v>90.44744661</v>
      </c>
      <c r="AG6" s="26"/>
      <c r="AH6" s="27">
        <f>AVERAGE('Smoothed data'!R2:R63)</f>
        <v>84.33485226</v>
      </c>
      <c r="AI6" s="26"/>
      <c r="AJ6" s="27">
        <f>AVERAGE('Smoothed data'!S2:S63)</f>
        <v>87.24149097</v>
      </c>
      <c r="AK6" s="26"/>
      <c r="AL6" s="27">
        <f>AVERAGE('Smoothed data'!T2:T63)</f>
        <v>89.20212452</v>
      </c>
      <c r="AM6" s="22"/>
    </row>
    <row r="7">
      <c r="A7" s="23" t="s">
        <v>27</v>
      </c>
      <c r="B7" s="28">
        <f>_xlfn.STDEV.S('Smoothed data'!B2:B63)</f>
        <v>4.495798248</v>
      </c>
      <c r="C7" s="26"/>
      <c r="D7" s="28">
        <f>_xlfn.STDEV.S('Smoothed data'!C2:C63)</f>
        <v>5.639714832</v>
      </c>
      <c r="E7" s="26"/>
      <c r="F7" s="28">
        <f>_xlfn.STDEV.S('Smoothed data'!D2:D63)</f>
        <v>5.537283687</v>
      </c>
      <c r="G7" s="26"/>
      <c r="H7" s="28">
        <f>_xlfn.STDEV.S('Smoothed data'!E2:E63)</f>
        <v>5.361146868</v>
      </c>
      <c r="I7" s="26"/>
      <c r="J7" s="28">
        <f>_xlfn.STDEV.S('Smoothed data'!F2:F63)</f>
        <v>3.771304271</v>
      </c>
      <c r="K7" s="26"/>
      <c r="L7" s="28">
        <f>_xlfn.STDEV.S('Smoothed data'!G2:G63)</f>
        <v>4.052620291</v>
      </c>
      <c r="M7" s="26"/>
      <c r="N7" s="28">
        <f>_xlfn.STDEV.S('Smoothed data'!H2:H63)</f>
        <v>4.45166457</v>
      </c>
      <c r="O7" s="26"/>
      <c r="P7" s="28">
        <f>_xlfn.STDEV.S('Smoothed data'!I2:I63)</f>
        <v>3.920524671</v>
      </c>
      <c r="Q7" s="26"/>
      <c r="R7" s="28">
        <f>_xlfn.STDEV.S('Smoothed data'!J2:J63)</f>
        <v>4.503974521</v>
      </c>
      <c r="S7" s="26"/>
      <c r="T7" s="28">
        <f>_xlfn.STDEV.S('Smoothed data'!K2:K63)</f>
        <v>4.541218515</v>
      </c>
      <c r="U7" s="26"/>
      <c r="V7" s="28">
        <f>_xlfn.STDEV.S('Smoothed data'!L2:L63)</f>
        <v>6.499511665</v>
      </c>
      <c r="W7" s="26"/>
      <c r="X7" s="28">
        <f>_xlfn.STDEV.S('Smoothed data'!M2:M63)</f>
        <v>3.777222584</v>
      </c>
      <c r="Y7" s="26"/>
      <c r="Z7" s="28">
        <f>_xlfn.STDEV.S('Smoothed data'!N2:N63)</f>
        <v>4.030970594</v>
      </c>
      <c r="AA7" s="26"/>
      <c r="AB7" s="28">
        <f>_xlfn.STDEV.S('Smoothed data'!O2:O63)</f>
        <v>3.882655041</v>
      </c>
      <c r="AC7" s="26"/>
      <c r="AD7" s="28">
        <f>_xlfn.STDEV.S('Smoothed data'!P2:P63)</f>
        <v>3.033752578</v>
      </c>
      <c r="AE7" s="26"/>
      <c r="AF7" s="28">
        <f>_xlfn.STDEV.S('Smoothed data'!Q2:Q63)</f>
        <v>4.660681102</v>
      </c>
      <c r="AG7" s="26"/>
      <c r="AH7" s="28">
        <f>_xlfn.STDEV.S('Smoothed data'!R2:R63)</f>
        <v>4.807614339</v>
      </c>
      <c r="AI7" s="26"/>
      <c r="AJ7" s="28">
        <f>_xlfn.STDEV.S('Smoothed data'!S2:S63)</f>
        <v>3.583884694</v>
      </c>
      <c r="AK7" s="26"/>
      <c r="AL7" s="28">
        <f>_xlfn.STDEV.S('Smoothed data'!T2:T63)</f>
        <v>4.098246335</v>
      </c>
      <c r="AM7" s="22"/>
    </row>
    <row r="8">
      <c r="A8" s="20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>
      <c r="A9" s="29" t="s">
        <v>28</v>
      </c>
      <c r="B9" s="30">
        <v>1997.0</v>
      </c>
      <c r="C9" s="31"/>
      <c r="D9" s="30">
        <v>1998.0</v>
      </c>
      <c r="E9" s="31"/>
      <c r="F9" s="30">
        <v>1999.0</v>
      </c>
      <c r="G9" s="31"/>
      <c r="H9" s="30">
        <v>2000.0</v>
      </c>
      <c r="I9" s="31"/>
      <c r="J9" s="30">
        <v>2001.0</v>
      </c>
      <c r="K9" s="31"/>
      <c r="L9" s="30">
        <v>2002.0</v>
      </c>
      <c r="M9" s="31"/>
      <c r="N9" s="30">
        <v>2003.0</v>
      </c>
      <c r="O9" s="31"/>
      <c r="P9" s="30">
        <v>2004.0</v>
      </c>
      <c r="Q9" s="31"/>
      <c r="R9" s="30">
        <v>2005.0</v>
      </c>
      <c r="S9" s="31"/>
      <c r="T9" s="30">
        <v>2006.0</v>
      </c>
      <c r="U9" s="31"/>
      <c r="V9" s="30">
        <v>2007.0</v>
      </c>
      <c r="W9" s="31"/>
      <c r="X9" s="30">
        <v>2008.0</v>
      </c>
      <c r="Y9" s="31"/>
      <c r="Z9" s="30">
        <v>2009.0</v>
      </c>
      <c r="AA9" s="31"/>
      <c r="AB9" s="30">
        <v>2010.0</v>
      </c>
      <c r="AC9" s="31"/>
      <c r="AD9" s="30">
        <v>2011.0</v>
      </c>
      <c r="AE9" s="31"/>
      <c r="AF9" s="30">
        <v>2012.0</v>
      </c>
      <c r="AG9" s="31"/>
      <c r="AH9" s="30">
        <v>2013.0</v>
      </c>
      <c r="AI9" s="31"/>
      <c r="AJ9" s="30">
        <v>2014.0</v>
      </c>
      <c r="AK9" s="31"/>
      <c r="AL9" s="30">
        <v>2015.0</v>
      </c>
      <c r="AM9" s="31"/>
    </row>
    <row r="10">
      <c r="A10" s="29"/>
      <c r="B10" s="29" t="s">
        <v>29</v>
      </c>
      <c r="C10" s="29" t="s">
        <v>30</v>
      </c>
      <c r="D10" s="29" t="s">
        <v>29</v>
      </c>
      <c r="E10" s="29" t="s">
        <v>30</v>
      </c>
      <c r="F10" s="29" t="s">
        <v>29</v>
      </c>
      <c r="G10" s="29" t="s">
        <v>30</v>
      </c>
      <c r="H10" s="29" t="s">
        <v>29</v>
      </c>
      <c r="I10" s="29" t="s">
        <v>30</v>
      </c>
      <c r="J10" s="29" t="s">
        <v>29</v>
      </c>
      <c r="K10" s="29" t="s">
        <v>30</v>
      </c>
      <c r="L10" s="29" t="s">
        <v>29</v>
      </c>
      <c r="M10" s="29" t="s">
        <v>30</v>
      </c>
      <c r="N10" s="29" t="s">
        <v>29</v>
      </c>
      <c r="O10" s="29" t="s">
        <v>30</v>
      </c>
      <c r="P10" s="29" t="s">
        <v>29</v>
      </c>
      <c r="Q10" s="29" t="s">
        <v>30</v>
      </c>
      <c r="R10" s="29" t="s">
        <v>29</v>
      </c>
      <c r="S10" s="29" t="s">
        <v>30</v>
      </c>
      <c r="T10" s="29" t="s">
        <v>29</v>
      </c>
      <c r="U10" s="29" t="s">
        <v>30</v>
      </c>
      <c r="V10" s="29" t="s">
        <v>29</v>
      </c>
      <c r="W10" s="29" t="s">
        <v>30</v>
      </c>
      <c r="X10" s="29" t="s">
        <v>29</v>
      </c>
      <c r="Y10" s="29" t="s">
        <v>30</v>
      </c>
      <c r="Z10" s="29" t="s">
        <v>29</v>
      </c>
      <c r="AA10" s="29" t="s">
        <v>30</v>
      </c>
      <c r="AB10" s="29" t="s">
        <v>29</v>
      </c>
      <c r="AC10" s="29" t="s">
        <v>30</v>
      </c>
      <c r="AD10" s="29" t="s">
        <v>29</v>
      </c>
      <c r="AE10" s="29" t="s">
        <v>30</v>
      </c>
      <c r="AF10" s="29" t="s">
        <v>29</v>
      </c>
      <c r="AG10" s="29" t="s">
        <v>30</v>
      </c>
      <c r="AH10" s="29" t="s">
        <v>29</v>
      </c>
      <c r="AI10" s="29" t="s">
        <v>30</v>
      </c>
      <c r="AJ10" s="29" t="s">
        <v>29</v>
      </c>
      <c r="AK10" s="29" t="s">
        <v>30</v>
      </c>
      <c r="AL10" s="29" t="s">
        <v>29</v>
      </c>
      <c r="AM10" s="29" t="s">
        <v>30</v>
      </c>
    </row>
    <row r="11">
      <c r="A11" s="32">
        <v>45839.0</v>
      </c>
      <c r="B11" s="33">
        <v>87.17619</v>
      </c>
      <c r="C11" s="34">
        <f>MAX(0, 0 + ($B$6 - B11 - ($B$7/2)))</f>
        <v>0</v>
      </c>
      <c r="D11" s="33">
        <v>65.99606</v>
      </c>
      <c r="E11" s="34">
        <f>MAX(0, 0 + ($D$6 - D11 - ($D$7/2)))</f>
        <v>18.83188065</v>
      </c>
      <c r="F11" s="33">
        <v>89.75466</v>
      </c>
      <c r="G11" s="34">
        <f>MAX(0, 0 + ($F$6 - F11 - ($F$7/2)))</f>
        <v>0</v>
      </c>
      <c r="H11" s="33">
        <v>83.65738</v>
      </c>
      <c r="I11" s="34">
        <f>MAX(0, 0 + ($H$6 - H11 - ($H$7/2)))</f>
        <v>4.902724469</v>
      </c>
      <c r="J11" s="33">
        <v>87.44361</v>
      </c>
      <c r="K11" s="34">
        <f>MAX(0, 0 + ($J$6 - J11 - ($J$7/2)))</f>
        <v>0</v>
      </c>
      <c r="L11" s="33">
        <v>79.13415</v>
      </c>
      <c r="M11" s="34">
        <f>MAX(0, 0 + ($L$6 - L11 - ($L$7/2)))</f>
        <v>8.016327274</v>
      </c>
      <c r="N11" s="33">
        <v>74.12006</v>
      </c>
      <c r="O11" s="34">
        <f>MAX(0, 0 + ($N$6 - N11 - ($N$7/2)))</f>
        <v>9.391057231</v>
      </c>
      <c r="P11" s="35">
        <v>86.89937</v>
      </c>
      <c r="Q11" s="34">
        <f>MAX(0, 0 + ($P$6 - P11 - ($P$7/2)))</f>
        <v>0</v>
      </c>
      <c r="R11" s="33">
        <v>91.15242</v>
      </c>
      <c r="S11" s="34">
        <f>MAX(0, 0 + ($R$6 - R11 - ($R$7/2)))</f>
        <v>0</v>
      </c>
      <c r="T11" s="33">
        <v>79.17602</v>
      </c>
      <c r="U11" s="34">
        <f>MAX(0, 0 + ($T$6 - T11 - ($T$7/2)))</f>
        <v>8.326748968</v>
      </c>
      <c r="V11" s="33">
        <v>82.08626</v>
      </c>
      <c r="W11" s="34">
        <f>MAX(0, 0 + ($V$6 - V11 - ($V$7/2)))</f>
        <v>5.545171264</v>
      </c>
      <c r="X11" s="33">
        <v>85.64527</v>
      </c>
      <c r="Y11" s="34">
        <f>MAX(0, 0 + ($X$6 - X11 - ($X$7/2)))</f>
        <v>0</v>
      </c>
      <c r="Z11" s="33">
        <v>81.25471</v>
      </c>
      <c r="AA11" s="34">
        <f>MAX(0, 0 + ($Z$6 - Z11 - ($Z$7/2)))</f>
        <v>3.610168897</v>
      </c>
      <c r="AB11" s="33">
        <v>87.07795</v>
      </c>
      <c r="AC11" s="34">
        <f>MAX(0, 0 + ($AB$6 - AB11 - ($AB$7/2)))</f>
        <v>1.919984093</v>
      </c>
      <c r="AD11" s="33">
        <v>92.70889</v>
      </c>
      <c r="AE11" s="34">
        <f>MAX(0, 0 + ($AD$6 - AD11 - ($AD$7/2)))</f>
        <v>0</v>
      </c>
      <c r="AF11" s="33">
        <v>83.33264</v>
      </c>
      <c r="AG11" s="34">
        <f>MAX(0, 0 + ($AF$6 - AF11 - ($AF$7/2)))</f>
        <v>4.784466062</v>
      </c>
      <c r="AH11" s="33">
        <v>87.07333</v>
      </c>
      <c r="AI11" s="34">
        <f>MAX(0, 0 + ($AH$6 - AH11 - ($AH$7/2)))</f>
        <v>0</v>
      </c>
      <c r="AJ11" s="33">
        <v>98.76579</v>
      </c>
      <c r="AK11" s="34">
        <f>MAX(0, 0 + ($AJ$6 - AJ11 - ($AJ$7/2)))</f>
        <v>0</v>
      </c>
      <c r="AL11" s="33">
        <v>89.08086</v>
      </c>
      <c r="AM11" s="34">
        <f>MAX(0, 0 + ($AL$6 - AL11 - ($AL$7/2)))</f>
        <v>0</v>
      </c>
    </row>
    <row r="12">
      <c r="A12" s="32">
        <v>45840.0</v>
      </c>
      <c r="B12" s="33">
        <v>90.32925</v>
      </c>
      <c r="C12" s="34">
        <f>MAX(0,C11 + ($B$6 - B11 - ($B$7/2)))</f>
        <v>0</v>
      </c>
      <c r="D12" s="33">
        <v>86.63516</v>
      </c>
      <c r="E12" s="34">
        <f t="shared" ref="E12:E133" si="1">MAX(0,E11 + ($D$6 - D11 - ($D$7/2)))</f>
        <v>37.6637613</v>
      </c>
      <c r="F12" s="33">
        <v>85.05435</v>
      </c>
      <c r="G12" s="34">
        <f t="shared" ref="G12:G133" si="2">MAX(0,G11 + ($F$6 - F12 - ($F$7/2)))</f>
        <v>1.805204285</v>
      </c>
      <c r="H12" s="33">
        <v>86.8649</v>
      </c>
      <c r="I12" s="34">
        <f t="shared" ref="I12:I133" si="3">MAX(0, I11 + ($H$6 - H12 - ($H$7/2)))</f>
        <v>6.597928938</v>
      </c>
      <c r="J12" s="33">
        <v>84.58717</v>
      </c>
      <c r="K12" s="34">
        <f t="shared" ref="K12:K133" si="4">MAX(0,K11 + ($J$6 - J12 - ($J$7/2)))</f>
        <v>0.3118562517</v>
      </c>
      <c r="L12" s="33">
        <v>86.97737</v>
      </c>
      <c r="M12" s="34">
        <f t="shared" ref="M12:M133" si="5">MAX(0,M11 + ($L$6 - L12 - ($L$7/2)))</f>
        <v>8.189434548</v>
      </c>
      <c r="N12" s="33">
        <v>72.37889</v>
      </c>
      <c r="O12" s="34">
        <f t="shared" ref="O12:O133" si="6">MAX(0,O11 + ($N$6 - N12 - ($N$7/2)))</f>
        <v>20.52328446</v>
      </c>
      <c r="P12" s="33">
        <v>84.72274</v>
      </c>
      <c r="Q12" s="34">
        <f t="shared" ref="Q12:Q133" si="7">MAX(0,Q11 + ($P$6 - P12 - ($P$7/2)))</f>
        <v>0</v>
      </c>
      <c r="R12" s="33">
        <v>92.36299</v>
      </c>
      <c r="S12" s="34">
        <f t="shared" ref="S12:S133" si="8">MAX(0,S11 + ($R$6 - R12 - ($R$7/2)))</f>
        <v>0</v>
      </c>
      <c r="T12" s="33">
        <v>88.94595</v>
      </c>
      <c r="U12" s="34">
        <f t="shared" ref="U12:U133" si="9">MAX(0,U11 + ($T$6 - T12 - ($T$7/2)))</f>
        <v>6.883567936</v>
      </c>
      <c r="V12" s="33">
        <v>89.18548</v>
      </c>
      <c r="W12" s="34">
        <f t="shared" ref="W12:W133" si="10">MAX(0,W11 + ($V$6 - V12 - ($V$7/2)))</f>
        <v>3.991122528</v>
      </c>
      <c r="X12" s="33">
        <v>80.16002</v>
      </c>
      <c r="Y12" s="34">
        <f t="shared" ref="Y12:Y133" si="11">MAX(0,Y11 + ($X$6 - X12 - ($X$7/2)))</f>
        <v>5.316509192</v>
      </c>
      <c r="Z12" s="33">
        <v>86.86767</v>
      </c>
      <c r="AA12" s="34">
        <f t="shared" ref="AA12:AA133" si="12">MAX(0,AA11 + ($Z$6 - Z12 - ($Z$7/2)))</f>
        <v>1.607377794</v>
      </c>
      <c r="AB12" s="33">
        <v>81.30538</v>
      </c>
      <c r="AC12" s="34">
        <f t="shared" ref="AC12:AC133" si="13">MAX(0,AC11 + ($AB$6 - AB12 - ($AB$7/2)))</f>
        <v>9.612538185</v>
      </c>
      <c r="AD12" s="33">
        <v>87.10638</v>
      </c>
      <c r="AE12" s="34">
        <f t="shared" ref="AE12:AE133" si="14">MAX(0,AE11 + ($AD$6 - AD12 - ($AD$7/2)))</f>
        <v>3.769081291</v>
      </c>
      <c r="AF12" s="33">
        <v>94.1322</v>
      </c>
      <c r="AG12" s="34">
        <f t="shared" ref="AG12:AG133" si="15">MAX(0,AG11 + ($AF$6 - AF12 - ($AF$7/2)))</f>
        <v>0</v>
      </c>
      <c r="AH12" s="33">
        <v>75.36736</v>
      </c>
      <c r="AI12" s="34">
        <f t="shared" ref="AI12:AI133" si="16">MAX(0,AI11 + ($AH$6 - AH12 - ($AH$7/2)))</f>
        <v>6.563685089</v>
      </c>
      <c r="AJ12" s="33">
        <v>87.73317</v>
      </c>
      <c r="AK12" s="34">
        <f t="shared" ref="AK12:AK133" si="17">MAX(0,AK11 + ($AJ$6 - AJ12 - ($AJ$7/2)))</f>
        <v>0</v>
      </c>
      <c r="AL12" s="33">
        <v>84.11698</v>
      </c>
      <c r="AM12" s="34">
        <f t="shared" ref="AM12:AM133" si="18">MAX(0,AM11 + ($AL$6 - AL12 - ($AL$7/2)))</f>
        <v>3.036021349</v>
      </c>
    </row>
    <row r="13">
      <c r="A13" s="32">
        <v>45841.0</v>
      </c>
      <c r="B13" s="33">
        <v>92.96089</v>
      </c>
      <c r="C13" s="34">
        <f>MAX(0,C12 + ($B$6 - B11 - ($B$7/2)))</f>
        <v>0</v>
      </c>
      <c r="D13" s="33">
        <v>90.46471</v>
      </c>
      <c r="E13" s="34">
        <f t="shared" si="1"/>
        <v>35.85654195</v>
      </c>
      <c r="F13" s="33">
        <v>85.78686</v>
      </c>
      <c r="G13" s="34">
        <f t="shared" si="2"/>
        <v>2.877898571</v>
      </c>
      <c r="H13" s="33">
        <v>93.25382</v>
      </c>
      <c r="I13" s="34">
        <f t="shared" si="3"/>
        <v>1.904213407</v>
      </c>
      <c r="J13" s="33">
        <v>88.90811</v>
      </c>
      <c r="K13" s="34">
        <f t="shared" si="4"/>
        <v>0</v>
      </c>
      <c r="L13" s="33">
        <v>90.78638</v>
      </c>
      <c r="M13" s="34">
        <f t="shared" si="5"/>
        <v>4.553531821</v>
      </c>
      <c r="N13" s="33">
        <v>78.44689</v>
      </c>
      <c r="O13" s="34">
        <f t="shared" si="6"/>
        <v>25.58751169</v>
      </c>
      <c r="P13" s="33">
        <v>82.61629</v>
      </c>
      <c r="Q13" s="34">
        <f t="shared" si="7"/>
        <v>1.791129761</v>
      </c>
      <c r="R13" s="33">
        <v>91.9993</v>
      </c>
      <c r="S13" s="34">
        <f t="shared" si="8"/>
        <v>0</v>
      </c>
      <c r="T13" s="33">
        <v>92.92709</v>
      </c>
      <c r="U13" s="34">
        <f t="shared" si="9"/>
        <v>1.459246904</v>
      </c>
      <c r="V13" s="33">
        <v>86.87669</v>
      </c>
      <c r="W13" s="34">
        <f t="shared" si="10"/>
        <v>4.745863792</v>
      </c>
      <c r="X13" s="33">
        <v>84.99336</v>
      </c>
      <c r="Y13" s="34">
        <f t="shared" si="11"/>
        <v>5.799678384</v>
      </c>
      <c r="Z13" s="33">
        <v>89.07355</v>
      </c>
      <c r="AA13" s="34">
        <f t="shared" si="12"/>
        <v>0</v>
      </c>
      <c r="AB13" s="33">
        <v>82.54299</v>
      </c>
      <c r="AC13" s="34">
        <f t="shared" si="13"/>
        <v>16.06748228</v>
      </c>
      <c r="AD13" s="33">
        <v>90.64593</v>
      </c>
      <c r="AE13" s="34">
        <f t="shared" si="14"/>
        <v>3.998612583</v>
      </c>
      <c r="AF13" s="33">
        <v>91.82838</v>
      </c>
      <c r="AG13" s="34">
        <f t="shared" si="15"/>
        <v>0</v>
      </c>
      <c r="AH13" s="33">
        <v>81.93827</v>
      </c>
      <c r="AI13" s="34">
        <f t="shared" si="16"/>
        <v>6.556460177</v>
      </c>
      <c r="AJ13" s="33">
        <v>88.12055</v>
      </c>
      <c r="AK13" s="34">
        <f t="shared" si="17"/>
        <v>0</v>
      </c>
      <c r="AL13" s="33">
        <v>81.57585</v>
      </c>
      <c r="AM13" s="34">
        <f t="shared" si="18"/>
        <v>8.613172697</v>
      </c>
    </row>
    <row r="14">
      <c r="A14" s="32">
        <v>45842.0</v>
      </c>
      <c r="B14" s="33">
        <v>90.9336</v>
      </c>
      <c r="C14" s="34">
        <f>MAX(0,C13 + ($B$6 - B13 - ($B$7/2)))</f>
        <v>0</v>
      </c>
      <c r="D14" s="33">
        <v>88.7712</v>
      </c>
      <c r="E14" s="34">
        <f t="shared" si="1"/>
        <v>30.2197726</v>
      </c>
      <c r="F14" s="33">
        <v>84.90009</v>
      </c>
      <c r="G14" s="34">
        <f t="shared" si="2"/>
        <v>4.837362856</v>
      </c>
      <c r="H14" s="33">
        <v>91.79686</v>
      </c>
      <c r="I14" s="34">
        <f t="shared" si="3"/>
        <v>0</v>
      </c>
      <c r="J14" s="33">
        <v>87.08965</v>
      </c>
      <c r="K14" s="34">
        <f t="shared" si="4"/>
        <v>0</v>
      </c>
      <c r="L14" s="33">
        <v>87.47605</v>
      </c>
      <c r="M14" s="34">
        <f t="shared" si="5"/>
        <v>4.227959095</v>
      </c>
      <c r="N14" s="33">
        <v>84.4183</v>
      </c>
      <c r="O14" s="34">
        <f t="shared" si="6"/>
        <v>24.68032893</v>
      </c>
      <c r="P14" s="33">
        <v>83.69406</v>
      </c>
      <c r="Q14" s="34">
        <f t="shared" si="7"/>
        <v>2.504489522</v>
      </c>
      <c r="R14" s="33">
        <v>87.06963</v>
      </c>
      <c r="S14" s="34">
        <f t="shared" si="8"/>
        <v>0</v>
      </c>
      <c r="T14" s="33">
        <v>93.05548</v>
      </c>
      <c r="U14" s="34">
        <f t="shared" si="9"/>
        <v>0</v>
      </c>
      <c r="V14" s="33">
        <v>83.28236</v>
      </c>
      <c r="W14" s="34">
        <f t="shared" si="10"/>
        <v>9.094935057</v>
      </c>
      <c r="X14" s="33">
        <v>90.20184</v>
      </c>
      <c r="Y14" s="34">
        <f t="shared" si="11"/>
        <v>1.074367576</v>
      </c>
      <c r="Z14" s="33">
        <v>88.94787</v>
      </c>
      <c r="AA14" s="34">
        <f t="shared" si="12"/>
        <v>0</v>
      </c>
      <c r="AB14" s="33">
        <v>83.2182</v>
      </c>
      <c r="AC14" s="34">
        <f t="shared" si="13"/>
        <v>21.84721637</v>
      </c>
      <c r="AD14" s="33">
        <v>94.17789</v>
      </c>
      <c r="AE14" s="34">
        <f t="shared" si="14"/>
        <v>0.6961838743</v>
      </c>
      <c r="AF14" s="33">
        <v>95.83964</v>
      </c>
      <c r="AG14" s="34">
        <f t="shared" si="15"/>
        <v>0</v>
      </c>
      <c r="AH14" s="33">
        <v>76.22184</v>
      </c>
      <c r="AI14" s="34">
        <f t="shared" si="16"/>
        <v>12.26566527</v>
      </c>
      <c r="AJ14" s="33">
        <v>87.01128</v>
      </c>
      <c r="AK14" s="34">
        <f t="shared" si="17"/>
        <v>0</v>
      </c>
      <c r="AL14" s="33">
        <v>79.10413</v>
      </c>
      <c r="AM14" s="34">
        <f t="shared" si="18"/>
        <v>16.66204405</v>
      </c>
    </row>
    <row r="15">
      <c r="A15" s="32">
        <v>45843.0</v>
      </c>
      <c r="B15" s="33">
        <v>83.99752</v>
      </c>
      <c r="C15" s="34">
        <f>MAX(0,C14 + ($B$6 - B13 - ($B$7/2)))</f>
        <v>0</v>
      </c>
      <c r="D15" s="33">
        <v>83.25107</v>
      </c>
      <c r="E15" s="34">
        <f t="shared" si="1"/>
        <v>26.27651324</v>
      </c>
      <c r="F15" s="33">
        <v>81.12482</v>
      </c>
      <c r="G15" s="34">
        <f t="shared" si="2"/>
        <v>10.57209714</v>
      </c>
      <c r="H15" s="33">
        <v>89.31287</v>
      </c>
      <c r="I15" s="34">
        <f t="shared" si="3"/>
        <v>0</v>
      </c>
      <c r="J15" s="33">
        <v>81.18354</v>
      </c>
      <c r="K15" s="34">
        <f t="shared" si="4"/>
        <v>3.715486252</v>
      </c>
      <c r="L15" s="33">
        <v>86.2941</v>
      </c>
      <c r="M15" s="34">
        <f t="shared" si="5"/>
        <v>5.084336369</v>
      </c>
      <c r="N15" s="33">
        <v>84.37192</v>
      </c>
      <c r="O15" s="34">
        <f t="shared" si="6"/>
        <v>23.81952616</v>
      </c>
      <c r="P15" s="33">
        <v>84.18777</v>
      </c>
      <c r="Q15" s="34">
        <f t="shared" si="7"/>
        <v>2.724139283</v>
      </c>
      <c r="R15" s="33">
        <v>84.32874</v>
      </c>
      <c r="S15" s="34">
        <f t="shared" si="8"/>
        <v>0.4511948364</v>
      </c>
      <c r="T15" s="33">
        <v>90.87864</v>
      </c>
      <c r="U15" s="34">
        <f t="shared" si="9"/>
        <v>0</v>
      </c>
      <c r="V15" s="33">
        <v>84.51007</v>
      </c>
      <c r="W15" s="34">
        <f t="shared" si="10"/>
        <v>12.21629632</v>
      </c>
      <c r="X15" s="33">
        <v>89.66314</v>
      </c>
      <c r="Y15" s="34">
        <f t="shared" si="11"/>
        <v>0</v>
      </c>
      <c r="Z15" s="33">
        <v>89.58972</v>
      </c>
      <c r="AA15" s="34">
        <f t="shared" si="12"/>
        <v>0</v>
      </c>
      <c r="AB15" s="33">
        <v>81.21594</v>
      </c>
      <c r="AC15" s="34">
        <f t="shared" si="13"/>
        <v>29.62921046</v>
      </c>
      <c r="AD15" s="33">
        <v>90.61737</v>
      </c>
      <c r="AE15" s="34">
        <f t="shared" si="14"/>
        <v>0.9542751658</v>
      </c>
      <c r="AF15" s="33">
        <v>95.47744</v>
      </c>
      <c r="AG15" s="34">
        <f t="shared" si="15"/>
        <v>0</v>
      </c>
      <c r="AH15" s="33">
        <v>75.44617</v>
      </c>
      <c r="AI15" s="34">
        <f t="shared" si="16"/>
        <v>18.75054035</v>
      </c>
      <c r="AJ15" s="33">
        <v>85.16544</v>
      </c>
      <c r="AK15" s="34">
        <f t="shared" si="17"/>
        <v>0.2841086206</v>
      </c>
      <c r="AL15" s="33">
        <v>83.96091</v>
      </c>
      <c r="AM15" s="34">
        <f t="shared" si="18"/>
        <v>19.85413539</v>
      </c>
    </row>
    <row r="16">
      <c r="A16" s="32">
        <v>45844.0</v>
      </c>
      <c r="B16" s="33">
        <v>84.04358</v>
      </c>
      <c r="C16" s="34">
        <f>MAX(0,C15 + ($B$6 - B15 - ($B$7/2)))</f>
        <v>0.2541544245</v>
      </c>
      <c r="D16" s="33">
        <v>88.40825</v>
      </c>
      <c r="E16" s="34">
        <f t="shared" si="1"/>
        <v>27.85338389</v>
      </c>
      <c r="F16" s="33">
        <v>85.51084</v>
      </c>
      <c r="G16" s="34">
        <f t="shared" si="2"/>
        <v>11.92081143</v>
      </c>
      <c r="H16" s="33">
        <v>91.53539</v>
      </c>
      <c r="I16" s="34">
        <f t="shared" si="3"/>
        <v>0</v>
      </c>
      <c r="J16" s="33">
        <v>81.69877</v>
      </c>
      <c r="K16" s="34">
        <f t="shared" si="4"/>
        <v>6.915742503</v>
      </c>
      <c r="L16" s="33">
        <v>88.16103</v>
      </c>
      <c r="M16" s="34">
        <f t="shared" si="5"/>
        <v>4.073783643</v>
      </c>
      <c r="N16" s="33">
        <v>78.52036</v>
      </c>
      <c r="O16" s="34">
        <f t="shared" si="6"/>
        <v>28.81028339</v>
      </c>
      <c r="P16" s="33">
        <v>87.15484</v>
      </c>
      <c r="Q16" s="34">
        <f t="shared" si="7"/>
        <v>0</v>
      </c>
      <c r="R16" s="33">
        <v>85.91322</v>
      </c>
      <c r="S16" s="34">
        <f t="shared" si="8"/>
        <v>0</v>
      </c>
      <c r="T16" s="33">
        <v>86.97635</v>
      </c>
      <c r="U16" s="34">
        <f t="shared" si="9"/>
        <v>0.5264189682</v>
      </c>
      <c r="V16" s="33">
        <v>82.41612</v>
      </c>
      <c r="W16" s="34">
        <f t="shared" si="10"/>
        <v>17.43160758</v>
      </c>
      <c r="X16" s="33">
        <v>84.39436</v>
      </c>
      <c r="Y16" s="34">
        <f t="shared" si="11"/>
        <v>1.082169192</v>
      </c>
      <c r="Z16" s="33">
        <v>78.92613</v>
      </c>
      <c r="AA16" s="34">
        <f t="shared" si="12"/>
        <v>5.938748897</v>
      </c>
      <c r="AB16" s="33">
        <v>85.11707</v>
      </c>
      <c r="AC16" s="34">
        <f t="shared" si="13"/>
        <v>33.51007456</v>
      </c>
      <c r="AD16" s="33">
        <v>89.01132</v>
      </c>
      <c r="AE16" s="34">
        <f t="shared" si="14"/>
        <v>2.818416457</v>
      </c>
      <c r="AF16" s="33">
        <v>97.60932</v>
      </c>
      <c r="AG16" s="34">
        <f t="shared" si="15"/>
        <v>0</v>
      </c>
      <c r="AH16" s="33">
        <v>78.70689</v>
      </c>
      <c r="AI16" s="34">
        <f t="shared" si="16"/>
        <v>21.97469544</v>
      </c>
      <c r="AJ16" s="33">
        <v>83.29378</v>
      </c>
      <c r="AK16" s="34">
        <f t="shared" si="17"/>
        <v>2.439877241</v>
      </c>
      <c r="AL16" s="33">
        <v>82.17153</v>
      </c>
      <c r="AM16" s="34">
        <f t="shared" si="18"/>
        <v>24.83560674</v>
      </c>
    </row>
    <row r="17">
      <c r="A17" s="32">
        <v>45845.0</v>
      </c>
      <c r="B17" s="33">
        <v>75.06732</v>
      </c>
      <c r="C17" s="34">
        <f>MAX(0,C16 + ($B$6 - B15 - ($B$7/2)))</f>
        <v>0.508308849</v>
      </c>
      <c r="D17" s="33">
        <v>79.84696</v>
      </c>
      <c r="E17" s="34">
        <f t="shared" si="1"/>
        <v>24.27307454</v>
      </c>
      <c r="F17" s="33">
        <v>82.84716</v>
      </c>
      <c r="G17" s="34">
        <f t="shared" si="2"/>
        <v>15.93320571</v>
      </c>
      <c r="H17" s="33">
        <v>86.85257</v>
      </c>
      <c r="I17" s="34">
        <f t="shared" si="3"/>
        <v>1.707534469</v>
      </c>
      <c r="J17" s="33">
        <v>78.56069</v>
      </c>
      <c r="K17" s="34">
        <f t="shared" si="4"/>
        <v>13.25407876</v>
      </c>
      <c r="L17" s="33">
        <v>85.38192</v>
      </c>
      <c r="M17" s="34">
        <f t="shared" si="5"/>
        <v>5.842340917</v>
      </c>
      <c r="N17" s="33">
        <v>75.90623</v>
      </c>
      <c r="O17" s="34">
        <f t="shared" si="6"/>
        <v>36.41517062</v>
      </c>
      <c r="P17" s="33">
        <v>83.98806</v>
      </c>
      <c r="Q17" s="34">
        <f t="shared" si="7"/>
        <v>0.419359761</v>
      </c>
      <c r="R17" s="33">
        <v>78.7376</v>
      </c>
      <c r="S17" s="34">
        <f t="shared" si="8"/>
        <v>6.042334836</v>
      </c>
      <c r="T17" s="33">
        <v>78.68583</v>
      </c>
      <c r="U17" s="34">
        <f t="shared" si="9"/>
        <v>9.343357936</v>
      </c>
      <c r="V17" s="33">
        <v>82.65049</v>
      </c>
      <c r="W17" s="34">
        <f t="shared" si="10"/>
        <v>22.41254885</v>
      </c>
      <c r="X17" s="33">
        <v>78.90719</v>
      </c>
      <c r="Y17" s="34">
        <f t="shared" si="11"/>
        <v>7.651508384</v>
      </c>
      <c r="Z17" s="33">
        <v>82.79176</v>
      </c>
      <c r="AA17" s="34">
        <f t="shared" si="12"/>
        <v>8.011867794</v>
      </c>
      <c r="AB17" s="33">
        <v>85.18183</v>
      </c>
      <c r="AC17" s="34">
        <f t="shared" si="13"/>
        <v>37.32617865</v>
      </c>
      <c r="AD17" s="33">
        <v>88.20794</v>
      </c>
      <c r="AE17" s="34">
        <f t="shared" si="14"/>
        <v>5.485937749</v>
      </c>
      <c r="AF17" s="33">
        <v>97.42785</v>
      </c>
      <c r="AG17" s="34">
        <f t="shared" si="15"/>
        <v>0</v>
      </c>
      <c r="AH17" s="33">
        <v>80.08474</v>
      </c>
      <c r="AI17" s="34">
        <f t="shared" si="16"/>
        <v>23.82100053</v>
      </c>
      <c r="AJ17" s="33">
        <v>83.14479</v>
      </c>
      <c r="AK17" s="34">
        <f t="shared" si="17"/>
        <v>4.744635862</v>
      </c>
      <c r="AL17" s="33">
        <v>81.23632</v>
      </c>
      <c r="AM17" s="34">
        <f t="shared" si="18"/>
        <v>30.75228809</v>
      </c>
    </row>
    <row r="18">
      <c r="A18" s="32">
        <v>45846.0</v>
      </c>
      <c r="B18" s="33">
        <v>87.04284</v>
      </c>
      <c r="C18" s="34">
        <f>MAX(0,C17 + ($B$6 - B17 - ($B$7/2)))</f>
        <v>9.692663273</v>
      </c>
      <c r="D18" s="33">
        <v>100.56714</v>
      </c>
      <c r="E18" s="34">
        <f t="shared" si="1"/>
        <v>29.25405519</v>
      </c>
      <c r="F18" s="33">
        <v>90.34795</v>
      </c>
      <c r="G18" s="34">
        <f t="shared" si="2"/>
        <v>12.44481</v>
      </c>
      <c r="H18" s="33">
        <v>100.21903</v>
      </c>
      <c r="I18" s="34">
        <f t="shared" si="3"/>
        <v>0</v>
      </c>
      <c r="J18" s="33">
        <v>87.56955</v>
      </c>
      <c r="K18" s="34">
        <f t="shared" si="4"/>
        <v>10.58355501</v>
      </c>
      <c r="L18" s="33">
        <v>89.71938</v>
      </c>
      <c r="M18" s="34">
        <f t="shared" si="5"/>
        <v>3.273438191</v>
      </c>
      <c r="N18" s="33">
        <v>84.26703</v>
      </c>
      <c r="O18" s="34">
        <f t="shared" si="6"/>
        <v>35.65925785</v>
      </c>
      <c r="P18" s="33">
        <v>87.19313</v>
      </c>
      <c r="Q18" s="34">
        <f t="shared" si="7"/>
        <v>0</v>
      </c>
      <c r="R18" s="33">
        <v>75.71746</v>
      </c>
      <c r="S18" s="34">
        <f t="shared" si="8"/>
        <v>15.10480967</v>
      </c>
      <c r="T18" s="33">
        <v>81.525</v>
      </c>
      <c r="U18" s="34">
        <f t="shared" si="9"/>
        <v>15.3211269</v>
      </c>
      <c r="V18" s="33">
        <v>84.01318</v>
      </c>
      <c r="W18" s="34">
        <f t="shared" si="10"/>
        <v>26.03080011</v>
      </c>
      <c r="X18" s="33">
        <v>86.42223</v>
      </c>
      <c r="Y18" s="34">
        <f t="shared" si="11"/>
        <v>6.705807576</v>
      </c>
      <c r="Z18" s="33">
        <v>85.24881</v>
      </c>
      <c r="AA18" s="34">
        <f t="shared" si="12"/>
        <v>7.62793669</v>
      </c>
      <c r="AB18" s="33">
        <v>89.97997</v>
      </c>
      <c r="AC18" s="34">
        <f t="shared" si="13"/>
        <v>36.34414274</v>
      </c>
      <c r="AD18" s="33">
        <v>90.62484</v>
      </c>
      <c r="AE18" s="34">
        <f t="shared" si="14"/>
        <v>5.73655904</v>
      </c>
      <c r="AF18" s="33">
        <v>92.57693</v>
      </c>
      <c r="AG18" s="34">
        <f t="shared" si="15"/>
        <v>0</v>
      </c>
      <c r="AH18" s="33">
        <v>78.89465</v>
      </c>
      <c r="AI18" s="34">
        <f t="shared" si="16"/>
        <v>26.85739562</v>
      </c>
      <c r="AJ18" s="33">
        <v>88.7004</v>
      </c>
      <c r="AK18" s="34">
        <f t="shared" si="17"/>
        <v>1.493784482</v>
      </c>
      <c r="AL18" s="33">
        <v>87.74986</v>
      </c>
      <c r="AM18" s="34">
        <f t="shared" si="18"/>
        <v>30.15542944</v>
      </c>
    </row>
    <row r="19">
      <c r="A19" s="32">
        <v>45847.0</v>
      </c>
      <c r="B19" s="33">
        <v>84.01829</v>
      </c>
      <c r="C19" s="34">
        <f>MAX(0,C18 + ($B$6 - B17 - ($B$7/2)))</f>
        <v>18.8770177</v>
      </c>
      <c r="D19" s="33">
        <v>93.89588</v>
      </c>
      <c r="E19" s="34">
        <f t="shared" si="1"/>
        <v>13.51485584</v>
      </c>
      <c r="F19" s="33">
        <v>85.89543</v>
      </c>
      <c r="G19" s="34">
        <f t="shared" si="2"/>
        <v>13.40893428</v>
      </c>
      <c r="H19" s="33">
        <v>93.70112</v>
      </c>
      <c r="I19" s="34">
        <f t="shared" si="3"/>
        <v>0</v>
      </c>
      <c r="J19" s="33">
        <v>90.53076</v>
      </c>
      <c r="K19" s="34">
        <f t="shared" si="4"/>
        <v>4.951821258</v>
      </c>
      <c r="L19" s="33">
        <v>91.05586</v>
      </c>
      <c r="M19" s="34">
        <f t="shared" si="5"/>
        <v>0</v>
      </c>
      <c r="N19" s="33">
        <v>89.79766</v>
      </c>
      <c r="O19" s="34">
        <f t="shared" si="6"/>
        <v>29.37271508</v>
      </c>
      <c r="P19" s="33">
        <v>87.42324</v>
      </c>
      <c r="Q19" s="34">
        <f t="shared" si="7"/>
        <v>0</v>
      </c>
      <c r="R19" s="33">
        <v>84.3578</v>
      </c>
      <c r="S19" s="34">
        <f t="shared" si="8"/>
        <v>15.52694451</v>
      </c>
      <c r="T19" s="33">
        <v>80.74182</v>
      </c>
      <c r="U19" s="34">
        <f t="shared" si="9"/>
        <v>22.08207587</v>
      </c>
      <c r="V19" s="33">
        <v>82.17456</v>
      </c>
      <c r="W19" s="34">
        <f t="shared" si="10"/>
        <v>31.48767138</v>
      </c>
      <c r="X19" s="33">
        <v>90.15134</v>
      </c>
      <c r="Y19" s="34">
        <f t="shared" si="11"/>
        <v>2.030996768</v>
      </c>
      <c r="Z19" s="33">
        <v>83.46364</v>
      </c>
      <c r="AA19" s="34">
        <f t="shared" si="12"/>
        <v>9.029175587</v>
      </c>
      <c r="AB19" s="33">
        <v>95.78473</v>
      </c>
      <c r="AC19" s="34">
        <f t="shared" si="13"/>
        <v>29.55734683</v>
      </c>
      <c r="AD19" s="33">
        <v>92.57906</v>
      </c>
      <c r="AE19" s="34">
        <f t="shared" si="14"/>
        <v>4.032960332</v>
      </c>
      <c r="AF19" s="33">
        <v>92.8526</v>
      </c>
      <c r="AG19" s="34">
        <f t="shared" si="15"/>
        <v>0</v>
      </c>
      <c r="AH19" s="33">
        <v>83.95288</v>
      </c>
      <c r="AI19" s="34">
        <f t="shared" si="16"/>
        <v>24.83556071</v>
      </c>
      <c r="AJ19" s="33">
        <v>87.52736</v>
      </c>
      <c r="AK19" s="34">
        <f t="shared" si="17"/>
        <v>0</v>
      </c>
      <c r="AL19" s="33">
        <v>87.4536</v>
      </c>
      <c r="AM19" s="34">
        <f t="shared" si="18"/>
        <v>29.85483079</v>
      </c>
    </row>
    <row r="20">
      <c r="A20" s="32">
        <v>45848.0</v>
      </c>
      <c r="B20" s="33">
        <v>87.05875</v>
      </c>
      <c r="C20" s="34">
        <f>MAX(0,C19 + ($B$6 - B19 - ($B$7/2)))</f>
        <v>19.11040212</v>
      </c>
      <c r="D20" s="33">
        <v>97.66975</v>
      </c>
      <c r="E20" s="34">
        <f t="shared" si="1"/>
        <v>4.446916488</v>
      </c>
      <c r="F20" s="33">
        <v>88.02332</v>
      </c>
      <c r="G20" s="34">
        <f t="shared" si="2"/>
        <v>12.24516857</v>
      </c>
      <c r="H20" s="33">
        <v>96.16789</v>
      </c>
      <c r="I20" s="34">
        <f t="shared" si="3"/>
        <v>0</v>
      </c>
      <c r="J20" s="33">
        <v>91.90095</v>
      </c>
      <c r="K20" s="34">
        <f t="shared" si="4"/>
        <v>0</v>
      </c>
      <c r="L20" s="33">
        <v>90.28062</v>
      </c>
      <c r="M20" s="34">
        <f t="shared" si="5"/>
        <v>0</v>
      </c>
      <c r="N20" s="33">
        <v>89.56905</v>
      </c>
      <c r="O20" s="34">
        <f t="shared" si="6"/>
        <v>23.31478231</v>
      </c>
      <c r="P20" s="33">
        <v>87.09276</v>
      </c>
      <c r="Q20" s="34">
        <f t="shared" si="7"/>
        <v>0</v>
      </c>
      <c r="R20" s="33">
        <v>86.99659</v>
      </c>
      <c r="S20" s="34">
        <f t="shared" si="8"/>
        <v>13.31028935</v>
      </c>
      <c r="T20" s="33">
        <v>79.57738</v>
      </c>
      <c r="U20" s="34">
        <f t="shared" si="9"/>
        <v>30.00746484</v>
      </c>
      <c r="V20" s="33">
        <v>83.6149</v>
      </c>
      <c r="W20" s="34">
        <f t="shared" si="10"/>
        <v>35.50420264</v>
      </c>
      <c r="X20" s="33">
        <v>85.3782</v>
      </c>
      <c r="Y20" s="34">
        <f t="shared" si="11"/>
        <v>2.12932596</v>
      </c>
      <c r="Z20" s="33">
        <v>80.39344</v>
      </c>
      <c r="AA20" s="34">
        <f t="shared" si="12"/>
        <v>13.50061448</v>
      </c>
      <c r="AB20" s="33">
        <v>93.15245</v>
      </c>
      <c r="AC20" s="34">
        <f t="shared" si="13"/>
        <v>25.40283093</v>
      </c>
      <c r="AD20" s="33">
        <v>88.04743</v>
      </c>
      <c r="AE20" s="34">
        <f t="shared" si="14"/>
        <v>6.860991623</v>
      </c>
      <c r="AF20" s="33">
        <v>93.27795</v>
      </c>
      <c r="AG20" s="34">
        <f t="shared" si="15"/>
        <v>0</v>
      </c>
      <c r="AH20" s="33">
        <v>83.79832</v>
      </c>
      <c r="AI20" s="34">
        <f t="shared" si="16"/>
        <v>22.9682858</v>
      </c>
      <c r="AJ20" s="33">
        <v>86.15293</v>
      </c>
      <c r="AK20" s="34">
        <f t="shared" si="17"/>
        <v>0</v>
      </c>
      <c r="AL20" s="33">
        <v>86.44475</v>
      </c>
      <c r="AM20" s="34">
        <f t="shared" si="18"/>
        <v>30.56308214</v>
      </c>
    </row>
    <row r="21">
      <c r="A21" s="32">
        <v>45849.0</v>
      </c>
      <c r="B21" s="33">
        <v>84.04807</v>
      </c>
      <c r="C21" s="34">
        <f>MAX(0,C20 + ($B$6 - B19 - ($B$7/2)))</f>
        <v>19.34378655</v>
      </c>
      <c r="D21" s="33">
        <v>90.29105</v>
      </c>
      <c r="E21" s="34">
        <f t="shared" si="1"/>
        <v>0</v>
      </c>
      <c r="F21" s="33">
        <v>85.93986</v>
      </c>
      <c r="G21" s="34">
        <f t="shared" si="2"/>
        <v>13.16486285</v>
      </c>
      <c r="H21" s="33">
        <v>96.01547</v>
      </c>
      <c r="I21" s="34">
        <f t="shared" si="3"/>
        <v>0</v>
      </c>
      <c r="J21" s="33">
        <v>86.03346</v>
      </c>
      <c r="K21" s="34">
        <f t="shared" si="4"/>
        <v>0</v>
      </c>
      <c r="L21" s="33">
        <v>90.00639</v>
      </c>
      <c r="M21" s="34">
        <f t="shared" si="5"/>
        <v>0</v>
      </c>
      <c r="N21" s="33">
        <v>83.71346</v>
      </c>
      <c r="O21" s="34">
        <f t="shared" si="6"/>
        <v>23.11243954</v>
      </c>
      <c r="P21" s="33">
        <v>87.4195</v>
      </c>
      <c r="Q21" s="34">
        <f t="shared" si="7"/>
        <v>0</v>
      </c>
      <c r="R21" s="33">
        <v>80.2578</v>
      </c>
      <c r="S21" s="34">
        <f t="shared" si="8"/>
        <v>17.83242418</v>
      </c>
      <c r="T21" s="33">
        <v>84.19546</v>
      </c>
      <c r="U21" s="34">
        <f t="shared" si="9"/>
        <v>33.31477381</v>
      </c>
      <c r="V21" s="33">
        <v>87.1787</v>
      </c>
      <c r="W21" s="34">
        <f t="shared" si="10"/>
        <v>35.95693391</v>
      </c>
      <c r="X21" s="33">
        <v>87.47093</v>
      </c>
      <c r="Y21" s="34">
        <f t="shared" si="11"/>
        <v>0.134925152</v>
      </c>
      <c r="Z21" s="33">
        <v>83.77858</v>
      </c>
      <c r="AA21" s="34">
        <f t="shared" si="12"/>
        <v>14.58691338</v>
      </c>
      <c r="AB21" s="33">
        <v>91.77614</v>
      </c>
      <c r="AC21" s="34">
        <f t="shared" si="13"/>
        <v>22.62462502</v>
      </c>
      <c r="AD21" s="33">
        <v>92.29475</v>
      </c>
      <c r="AE21" s="34">
        <f t="shared" si="14"/>
        <v>5.441702914</v>
      </c>
      <c r="AF21" s="33">
        <v>95.78661</v>
      </c>
      <c r="AG21" s="34">
        <f t="shared" si="15"/>
        <v>0</v>
      </c>
      <c r="AH21" s="33">
        <v>85.69499</v>
      </c>
      <c r="AI21" s="34">
        <f t="shared" si="16"/>
        <v>19.20434089</v>
      </c>
      <c r="AJ21" s="33">
        <v>84.609</v>
      </c>
      <c r="AK21" s="34">
        <f t="shared" si="17"/>
        <v>0.8405486206</v>
      </c>
      <c r="AL21" s="33">
        <v>88.5777</v>
      </c>
      <c r="AM21" s="34">
        <f t="shared" si="18"/>
        <v>29.13838349</v>
      </c>
    </row>
    <row r="22">
      <c r="A22" s="32">
        <v>45850.0</v>
      </c>
      <c r="B22" s="33">
        <v>88.04445</v>
      </c>
      <c r="C22" s="34">
        <f>MAX(0,C21 + ($B$6 - B21 - ($B$7/2)))</f>
        <v>19.54739097</v>
      </c>
      <c r="D22" s="33">
        <v>94.78863</v>
      </c>
      <c r="E22" s="34">
        <f t="shared" si="1"/>
        <v>0</v>
      </c>
      <c r="F22" s="33">
        <v>85.35298</v>
      </c>
      <c r="G22" s="34">
        <f t="shared" si="2"/>
        <v>14.67143714</v>
      </c>
      <c r="H22" s="33">
        <v>97.08828</v>
      </c>
      <c r="I22" s="34">
        <f t="shared" si="3"/>
        <v>0</v>
      </c>
      <c r="J22" s="33">
        <v>88.87612</v>
      </c>
      <c r="K22" s="34">
        <f t="shared" si="4"/>
        <v>0</v>
      </c>
      <c r="L22" s="33">
        <v>85.65434</v>
      </c>
      <c r="M22" s="34">
        <f t="shared" si="5"/>
        <v>1.496137274</v>
      </c>
      <c r="N22" s="33">
        <v>82.96066</v>
      </c>
      <c r="O22" s="34">
        <f t="shared" si="6"/>
        <v>23.66289678</v>
      </c>
      <c r="P22" s="33">
        <v>88.76612</v>
      </c>
      <c r="Q22" s="34">
        <f t="shared" si="7"/>
        <v>0</v>
      </c>
      <c r="R22" s="33">
        <v>81.21436</v>
      </c>
      <c r="S22" s="34">
        <f t="shared" si="8"/>
        <v>21.39799902</v>
      </c>
      <c r="T22" s="33">
        <v>87.60916</v>
      </c>
      <c r="U22" s="34">
        <f t="shared" si="9"/>
        <v>33.20838278</v>
      </c>
      <c r="V22" s="33">
        <v>84.80383</v>
      </c>
      <c r="W22" s="34">
        <f t="shared" si="10"/>
        <v>38.78453517</v>
      </c>
      <c r="X22" s="33">
        <v>88.4736</v>
      </c>
      <c r="Y22" s="34">
        <f t="shared" si="11"/>
        <v>0</v>
      </c>
      <c r="Z22" s="33">
        <v>85.87368</v>
      </c>
      <c r="AA22" s="34">
        <f t="shared" si="12"/>
        <v>13.57811228</v>
      </c>
      <c r="AB22" s="33">
        <v>93.6152</v>
      </c>
      <c r="AC22" s="34">
        <f t="shared" si="13"/>
        <v>18.00735911</v>
      </c>
      <c r="AD22" s="33">
        <v>94.08832</v>
      </c>
      <c r="AE22" s="34">
        <f t="shared" si="14"/>
        <v>2.228844206</v>
      </c>
      <c r="AF22" s="33">
        <v>91.58671</v>
      </c>
      <c r="AG22" s="34">
        <f t="shared" si="15"/>
        <v>0</v>
      </c>
      <c r="AH22" s="33">
        <v>81.17445</v>
      </c>
      <c r="AI22" s="34">
        <f t="shared" si="16"/>
        <v>19.96093598</v>
      </c>
      <c r="AJ22" s="33">
        <v>86.55139</v>
      </c>
      <c r="AK22" s="34">
        <f t="shared" si="17"/>
        <v>0</v>
      </c>
      <c r="AL22" s="33">
        <v>93.17148</v>
      </c>
      <c r="AM22" s="34">
        <f t="shared" si="18"/>
        <v>23.11990483</v>
      </c>
    </row>
    <row r="23">
      <c r="A23" s="32">
        <v>45851.0</v>
      </c>
      <c r="B23" s="33">
        <v>86.02696</v>
      </c>
      <c r="C23" s="34">
        <f>MAX(0,C22 + ($B$6 - B21 - ($B$7/2)))</f>
        <v>19.7509954</v>
      </c>
      <c r="D23" s="33">
        <v>86.9944</v>
      </c>
      <c r="E23" s="34">
        <f t="shared" si="1"/>
        <v>0</v>
      </c>
      <c r="F23" s="33">
        <v>79.92088</v>
      </c>
      <c r="G23" s="34">
        <f t="shared" si="2"/>
        <v>21.61011143</v>
      </c>
      <c r="H23" s="33">
        <v>94.77869</v>
      </c>
      <c r="I23" s="34">
        <f t="shared" si="3"/>
        <v>0</v>
      </c>
      <c r="J23" s="33">
        <v>90.07765</v>
      </c>
      <c r="K23" s="34">
        <f t="shared" si="4"/>
        <v>0</v>
      </c>
      <c r="L23" s="33">
        <v>79.29033</v>
      </c>
      <c r="M23" s="34">
        <f t="shared" si="5"/>
        <v>9.356284548</v>
      </c>
      <c r="N23" s="33">
        <v>86.73346</v>
      </c>
      <c r="O23" s="34">
        <f t="shared" si="6"/>
        <v>20.44055401</v>
      </c>
      <c r="P23" s="33">
        <v>90.09714</v>
      </c>
      <c r="Q23" s="34">
        <f t="shared" si="7"/>
        <v>0</v>
      </c>
      <c r="R23" s="33">
        <v>85.69605</v>
      </c>
      <c r="S23" s="34">
        <f t="shared" si="8"/>
        <v>20.48188385</v>
      </c>
      <c r="T23" s="33">
        <v>89.79616</v>
      </c>
      <c r="U23" s="34">
        <f t="shared" si="9"/>
        <v>30.91499175</v>
      </c>
      <c r="V23" s="33">
        <v>85.73794</v>
      </c>
      <c r="W23" s="34">
        <f t="shared" si="10"/>
        <v>40.67802643</v>
      </c>
      <c r="X23" s="33">
        <v>90.53855</v>
      </c>
      <c r="Y23" s="34">
        <f t="shared" si="11"/>
        <v>0</v>
      </c>
      <c r="Z23" s="33">
        <v>85.54268</v>
      </c>
      <c r="AA23" s="34">
        <f t="shared" si="12"/>
        <v>12.90031117</v>
      </c>
      <c r="AB23" s="33">
        <v>86.96605</v>
      </c>
      <c r="AC23" s="34">
        <f t="shared" si="13"/>
        <v>20.0392432</v>
      </c>
      <c r="AD23" s="33">
        <v>92.05159</v>
      </c>
      <c r="AE23" s="34">
        <f t="shared" si="14"/>
        <v>1.052715497</v>
      </c>
      <c r="AF23" s="33">
        <v>84.78688</v>
      </c>
      <c r="AG23" s="34">
        <f t="shared" si="15"/>
        <v>3.330226062</v>
      </c>
      <c r="AH23" s="33">
        <v>85.95159</v>
      </c>
      <c r="AI23" s="34">
        <f t="shared" si="16"/>
        <v>15.94039106</v>
      </c>
      <c r="AJ23" s="33">
        <v>86.83962</v>
      </c>
      <c r="AK23" s="34">
        <f t="shared" si="17"/>
        <v>0</v>
      </c>
      <c r="AL23" s="33">
        <v>90.7938</v>
      </c>
      <c r="AM23" s="34">
        <f t="shared" si="18"/>
        <v>19.47910618</v>
      </c>
    </row>
    <row r="24">
      <c r="A24" s="32">
        <v>45852.0</v>
      </c>
      <c r="B24" s="33">
        <v>89.93161</v>
      </c>
      <c r="C24" s="34">
        <f>MAX(0,C23 + ($B$6 - B23 - ($B$7/2)))</f>
        <v>17.97570982</v>
      </c>
      <c r="D24" s="33">
        <v>91.60183</v>
      </c>
      <c r="E24" s="34">
        <f t="shared" si="1"/>
        <v>0</v>
      </c>
      <c r="F24" s="33">
        <v>78.10092</v>
      </c>
      <c r="G24" s="34">
        <f t="shared" si="2"/>
        <v>30.36874571</v>
      </c>
      <c r="H24" s="33">
        <v>97.1155</v>
      </c>
      <c r="I24" s="34">
        <f t="shared" si="3"/>
        <v>0</v>
      </c>
      <c r="J24" s="33">
        <v>92.1455</v>
      </c>
      <c r="K24" s="34">
        <f t="shared" si="4"/>
        <v>0</v>
      </c>
      <c r="L24" s="33">
        <v>84.56002</v>
      </c>
      <c r="M24" s="34">
        <f t="shared" si="5"/>
        <v>11.94674182</v>
      </c>
      <c r="N24" s="33">
        <v>90.54275</v>
      </c>
      <c r="O24" s="34">
        <f t="shared" si="6"/>
        <v>13.40892124</v>
      </c>
      <c r="P24" s="33">
        <v>92.88507</v>
      </c>
      <c r="Q24" s="34">
        <f t="shared" si="7"/>
        <v>0</v>
      </c>
      <c r="R24" s="33">
        <v>86.17553</v>
      </c>
      <c r="S24" s="34">
        <f t="shared" si="8"/>
        <v>19.08628869</v>
      </c>
      <c r="T24" s="33">
        <v>92.72642</v>
      </c>
      <c r="U24" s="34">
        <f t="shared" si="9"/>
        <v>25.69134071</v>
      </c>
      <c r="V24" s="33">
        <v>87.42508</v>
      </c>
      <c r="W24" s="34">
        <f t="shared" si="10"/>
        <v>40.8843777</v>
      </c>
      <c r="X24" s="33">
        <v>87.6103</v>
      </c>
      <c r="Y24" s="34">
        <f t="shared" si="11"/>
        <v>0</v>
      </c>
      <c r="Z24" s="33">
        <v>86.51138</v>
      </c>
      <c r="AA24" s="34">
        <f t="shared" si="12"/>
        <v>11.25381007</v>
      </c>
      <c r="AB24" s="33">
        <v>92.47496</v>
      </c>
      <c r="AC24" s="34">
        <f t="shared" si="13"/>
        <v>16.5622173</v>
      </c>
      <c r="AD24" s="33">
        <v>96.99838</v>
      </c>
      <c r="AE24" s="34">
        <f t="shared" si="14"/>
        <v>0</v>
      </c>
      <c r="AF24" s="33">
        <v>87.37868</v>
      </c>
      <c r="AG24" s="34">
        <f t="shared" si="15"/>
        <v>4.068652123</v>
      </c>
      <c r="AH24" s="33">
        <v>79.29183</v>
      </c>
      <c r="AI24" s="34">
        <f t="shared" si="16"/>
        <v>18.57960615</v>
      </c>
      <c r="AJ24" s="33">
        <v>89.75724</v>
      </c>
      <c r="AK24" s="34">
        <f t="shared" si="17"/>
        <v>0</v>
      </c>
      <c r="AL24" s="33">
        <v>92.67455</v>
      </c>
      <c r="AM24" s="34">
        <f t="shared" si="18"/>
        <v>13.95755753</v>
      </c>
    </row>
    <row r="25">
      <c r="A25" s="32">
        <v>45853.0</v>
      </c>
      <c r="B25" s="33">
        <v>90.90741</v>
      </c>
      <c r="C25" s="34">
        <f>MAX(0,C24 + ($B$6 - B23 - ($B$7/2)))</f>
        <v>16.20042424</v>
      </c>
      <c r="D25" s="33">
        <v>89.49545</v>
      </c>
      <c r="E25" s="34">
        <f t="shared" si="1"/>
        <v>0</v>
      </c>
      <c r="F25" s="33">
        <v>82.24626</v>
      </c>
      <c r="G25" s="34">
        <f t="shared" si="2"/>
        <v>34.98204</v>
      </c>
      <c r="H25" s="33">
        <v>95.74591</v>
      </c>
      <c r="I25" s="34">
        <f t="shared" si="3"/>
        <v>0</v>
      </c>
      <c r="J25" s="33">
        <v>87.07975</v>
      </c>
      <c r="K25" s="34">
        <f t="shared" si="4"/>
        <v>0</v>
      </c>
      <c r="L25" s="33">
        <v>89.54789</v>
      </c>
      <c r="M25" s="34">
        <f t="shared" si="5"/>
        <v>9.549329095</v>
      </c>
      <c r="N25" s="33">
        <v>88.51044</v>
      </c>
      <c r="O25" s="34">
        <f t="shared" si="6"/>
        <v>8.40959847</v>
      </c>
      <c r="P25" s="33">
        <v>94.7857</v>
      </c>
      <c r="Q25" s="34">
        <f t="shared" si="7"/>
        <v>0</v>
      </c>
      <c r="R25" s="33">
        <v>87.98244</v>
      </c>
      <c r="S25" s="34">
        <f t="shared" si="8"/>
        <v>15.88378353</v>
      </c>
      <c r="T25" s="33">
        <v>91.82907</v>
      </c>
      <c r="U25" s="34">
        <f t="shared" si="9"/>
        <v>21.36503968</v>
      </c>
      <c r="V25" s="33">
        <v>85.59484</v>
      </c>
      <c r="W25" s="34">
        <f t="shared" si="10"/>
        <v>42.92096896</v>
      </c>
      <c r="X25" s="33">
        <v>88.05415</v>
      </c>
      <c r="Y25" s="34">
        <f t="shared" si="11"/>
        <v>0</v>
      </c>
      <c r="Z25" s="33">
        <v>88.46052</v>
      </c>
      <c r="AA25" s="34">
        <f t="shared" si="12"/>
        <v>7.658168968</v>
      </c>
      <c r="AB25" s="33">
        <v>91.39116</v>
      </c>
      <c r="AC25" s="34">
        <f t="shared" si="13"/>
        <v>14.16899139</v>
      </c>
      <c r="AD25" s="33">
        <v>93.12809</v>
      </c>
      <c r="AE25" s="34">
        <f t="shared" si="14"/>
        <v>0</v>
      </c>
      <c r="AF25" s="33">
        <v>88.56951</v>
      </c>
      <c r="AG25" s="34">
        <f t="shared" si="15"/>
        <v>3.616248185</v>
      </c>
      <c r="AH25" s="33">
        <v>82.27107</v>
      </c>
      <c r="AI25" s="34">
        <f t="shared" si="16"/>
        <v>18.23958124</v>
      </c>
      <c r="AJ25" s="33">
        <v>88.70436</v>
      </c>
      <c r="AK25" s="34">
        <f t="shared" si="17"/>
        <v>0</v>
      </c>
      <c r="AL25" s="33">
        <v>89.06904</v>
      </c>
      <c r="AM25" s="34">
        <f t="shared" si="18"/>
        <v>12.04151888</v>
      </c>
    </row>
    <row r="26">
      <c r="A26" s="32">
        <v>45854.0</v>
      </c>
      <c r="B26" s="33">
        <v>90.948</v>
      </c>
      <c r="C26" s="34">
        <f>MAX(0,C25 + ($B$6 - B25 - ($B$7/2)))</f>
        <v>9.544688669</v>
      </c>
      <c r="D26" s="33">
        <v>90.46083</v>
      </c>
      <c r="E26" s="34">
        <f t="shared" si="1"/>
        <v>0</v>
      </c>
      <c r="F26" s="33">
        <v>80.34166</v>
      </c>
      <c r="G26" s="34">
        <f t="shared" si="2"/>
        <v>41.49993428</v>
      </c>
      <c r="H26" s="33">
        <v>94.31215</v>
      </c>
      <c r="I26" s="34">
        <f t="shared" si="3"/>
        <v>0</v>
      </c>
      <c r="J26" s="33">
        <v>84.4068</v>
      </c>
      <c r="K26" s="34">
        <f t="shared" si="4"/>
        <v>0.4922262517</v>
      </c>
      <c r="L26" s="33">
        <v>92.1825</v>
      </c>
      <c r="M26" s="34">
        <f t="shared" si="5"/>
        <v>4.517306369</v>
      </c>
      <c r="N26" s="33">
        <v>88.39117</v>
      </c>
      <c r="O26" s="34">
        <f t="shared" si="6"/>
        <v>3.529545701</v>
      </c>
      <c r="P26" s="33">
        <v>89.64477</v>
      </c>
      <c r="Q26" s="34">
        <f t="shared" si="7"/>
        <v>0</v>
      </c>
      <c r="R26" s="33">
        <v>88.42759</v>
      </c>
      <c r="S26" s="34">
        <f t="shared" si="8"/>
        <v>12.23612836</v>
      </c>
      <c r="T26" s="33">
        <v>94.47629</v>
      </c>
      <c r="U26" s="34">
        <f t="shared" si="9"/>
        <v>14.39151865</v>
      </c>
      <c r="V26" s="33">
        <v>85.19205</v>
      </c>
      <c r="W26" s="34">
        <f t="shared" si="10"/>
        <v>45.36035023</v>
      </c>
      <c r="X26" s="33">
        <v>92.45825</v>
      </c>
      <c r="Y26" s="34">
        <f t="shared" si="11"/>
        <v>0</v>
      </c>
      <c r="Z26" s="33">
        <v>91.66333</v>
      </c>
      <c r="AA26" s="34">
        <f t="shared" si="12"/>
        <v>0.8597178644</v>
      </c>
      <c r="AB26" s="33">
        <v>95.49545</v>
      </c>
      <c r="AC26" s="34">
        <f t="shared" si="13"/>
        <v>7.671475481</v>
      </c>
      <c r="AD26" s="33">
        <v>84.90127</v>
      </c>
      <c r="AE26" s="34">
        <f t="shared" si="14"/>
        <v>5.974191291</v>
      </c>
      <c r="AF26" s="33">
        <v>92.76787</v>
      </c>
      <c r="AG26" s="34">
        <f t="shared" si="15"/>
        <v>0</v>
      </c>
      <c r="AH26" s="33">
        <v>87.52329</v>
      </c>
      <c r="AI26" s="34">
        <f t="shared" si="16"/>
        <v>12.64733633</v>
      </c>
      <c r="AJ26" s="33">
        <v>88.80328</v>
      </c>
      <c r="AK26" s="34">
        <f t="shared" si="17"/>
        <v>0</v>
      </c>
      <c r="AL26" s="33">
        <v>90.25381</v>
      </c>
      <c r="AM26" s="34">
        <f t="shared" si="18"/>
        <v>8.940710228</v>
      </c>
    </row>
    <row r="27">
      <c r="A27" s="32">
        <v>45855.0</v>
      </c>
      <c r="B27" s="33">
        <v>88.92923</v>
      </c>
      <c r="C27" s="34">
        <f t="shared" ref="C27:C133" si="19">MAX(0,C26 + ($B$6 - B25 - ($B$7/2)))</f>
        <v>2.888953094</v>
      </c>
      <c r="D27" s="33">
        <v>86.12384</v>
      </c>
      <c r="E27" s="34">
        <f t="shared" si="1"/>
        <v>0</v>
      </c>
      <c r="F27" s="33">
        <v>83.58677</v>
      </c>
      <c r="G27" s="34">
        <f t="shared" si="2"/>
        <v>44.77271857</v>
      </c>
      <c r="H27" s="33">
        <v>91.41503</v>
      </c>
      <c r="I27" s="34">
        <f t="shared" si="3"/>
        <v>0</v>
      </c>
      <c r="J27" s="33">
        <v>82.29816</v>
      </c>
      <c r="K27" s="34">
        <f t="shared" si="4"/>
        <v>3.093092503</v>
      </c>
      <c r="L27" s="33">
        <v>91.96506</v>
      </c>
      <c r="M27" s="34">
        <f t="shared" si="5"/>
        <v>0</v>
      </c>
      <c r="N27" s="33">
        <v>87.42077</v>
      </c>
      <c r="O27" s="34">
        <f t="shared" si="6"/>
        <v>0</v>
      </c>
      <c r="P27" s="33">
        <v>85.40692</v>
      </c>
      <c r="Q27" s="34">
        <f t="shared" si="7"/>
        <v>0</v>
      </c>
      <c r="R27" s="33">
        <v>86.55289</v>
      </c>
      <c r="S27" s="34">
        <f t="shared" si="8"/>
        <v>10.4631732</v>
      </c>
      <c r="T27" s="33">
        <v>93.81349</v>
      </c>
      <c r="U27" s="34">
        <f t="shared" si="9"/>
        <v>8.080797618</v>
      </c>
      <c r="V27" s="33">
        <v>87.9253</v>
      </c>
      <c r="W27" s="34">
        <f t="shared" si="10"/>
        <v>45.06648149</v>
      </c>
      <c r="X27" s="33">
        <v>92.42777</v>
      </c>
      <c r="Y27" s="34">
        <f t="shared" si="11"/>
        <v>0</v>
      </c>
      <c r="Z27" s="33">
        <v>92.61408</v>
      </c>
      <c r="AA27" s="34">
        <f t="shared" si="12"/>
        <v>0</v>
      </c>
      <c r="AB27" s="33">
        <v>92.62699</v>
      </c>
      <c r="AC27" s="34">
        <f t="shared" si="13"/>
        <v>4.042419573</v>
      </c>
      <c r="AD27" s="33">
        <v>86.57588</v>
      </c>
      <c r="AE27" s="34">
        <f t="shared" si="14"/>
        <v>10.27377258</v>
      </c>
      <c r="AF27" s="33">
        <v>93.93852</v>
      </c>
      <c r="AG27" s="34">
        <f t="shared" si="15"/>
        <v>0</v>
      </c>
      <c r="AH27" s="33">
        <v>88.81948</v>
      </c>
      <c r="AI27" s="34">
        <f t="shared" si="16"/>
        <v>5.758901418</v>
      </c>
      <c r="AJ27" s="33">
        <v>87.18166</v>
      </c>
      <c r="AK27" s="34">
        <f t="shared" si="17"/>
        <v>0</v>
      </c>
      <c r="AL27" s="33">
        <v>91.95733</v>
      </c>
      <c r="AM27" s="34">
        <f t="shared" si="18"/>
        <v>4.136381577</v>
      </c>
    </row>
    <row r="28">
      <c r="A28" s="32">
        <v>45856.0</v>
      </c>
      <c r="B28" s="33">
        <v>88.90661</v>
      </c>
      <c r="C28" s="34">
        <f t="shared" si="19"/>
        <v>0</v>
      </c>
      <c r="D28" s="33">
        <v>88.62161</v>
      </c>
      <c r="E28" s="34">
        <f t="shared" si="1"/>
        <v>0</v>
      </c>
      <c r="F28" s="33">
        <v>82.15602</v>
      </c>
      <c r="G28" s="34">
        <f t="shared" si="2"/>
        <v>49.47625285</v>
      </c>
      <c r="H28" s="33">
        <v>92.12072</v>
      </c>
      <c r="I28" s="34">
        <f t="shared" si="3"/>
        <v>0</v>
      </c>
      <c r="J28" s="33">
        <v>87.5076</v>
      </c>
      <c r="K28" s="34">
        <f t="shared" si="4"/>
        <v>0.4845187551</v>
      </c>
      <c r="L28" s="33">
        <v>93.85901</v>
      </c>
      <c r="M28" s="34">
        <f t="shared" si="5"/>
        <v>0</v>
      </c>
      <c r="N28" s="33">
        <v>88.61239</v>
      </c>
      <c r="O28" s="34">
        <f t="shared" si="6"/>
        <v>0</v>
      </c>
      <c r="P28" s="33">
        <v>85.03322</v>
      </c>
      <c r="Q28" s="34">
        <f t="shared" si="7"/>
        <v>0</v>
      </c>
      <c r="R28" s="33">
        <v>89.44139</v>
      </c>
      <c r="S28" s="34">
        <f t="shared" si="8"/>
        <v>5.801718037</v>
      </c>
      <c r="T28" s="33">
        <v>94.1466</v>
      </c>
      <c r="U28" s="34">
        <f t="shared" si="9"/>
        <v>1.436966586</v>
      </c>
      <c r="V28" s="33">
        <v>89.43608</v>
      </c>
      <c r="W28" s="34">
        <f t="shared" si="10"/>
        <v>43.26183275</v>
      </c>
      <c r="X28" s="33">
        <v>89.98114</v>
      </c>
      <c r="Y28" s="34">
        <f t="shared" si="11"/>
        <v>0</v>
      </c>
      <c r="Z28" s="33">
        <v>90.98595</v>
      </c>
      <c r="AA28" s="34">
        <f t="shared" si="12"/>
        <v>0</v>
      </c>
      <c r="AB28" s="33">
        <v>89.40343</v>
      </c>
      <c r="AC28" s="34">
        <f t="shared" si="13"/>
        <v>3.636923666</v>
      </c>
      <c r="AD28" s="33">
        <v>87.18805</v>
      </c>
      <c r="AE28" s="34">
        <f t="shared" si="14"/>
        <v>13.96118387</v>
      </c>
      <c r="AF28" s="33">
        <v>93.9438</v>
      </c>
      <c r="AG28" s="34">
        <f t="shared" si="15"/>
        <v>0</v>
      </c>
      <c r="AH28" s="33">
        <v>90.88552</v>
      </c>
      <c r="AI28" s="34">
        <f t="shared" si="16"/>
        <v>0</v>
      </c>
      <c r="AJ28" s="33">
        <v>85.74048</v>
      </c>
      <c r="AK28" s="34">
        <f t="shared" si="17"/>
        <v>0</v>
      </c>
      <c r="AL28" s="33">
        <v>91.44469</v>
      </c>
      <c r="AM28" s="34">
        <f t="shared" si="18"/>
        <v>0</v>
      </c>
    </row>
    <row r="29">
      <c r="A29" s="32">
        <v>45857.0</v>
      </c>
      <c r="B29" s="33">
        <v>88.88268</v>
      </c>
      <c r="C29" s="34">
        <f t="shared" si="19"/>
        <v>0</v>
      </c>
      <c r="D29" s="33">
        <v>90.11328</v>
      </c>
      <c r="E29" s="34">
        <f t="shared" si="1"/>
        <v>0</v>
      </c>
      <c r="F29" s="33">
        <v>85.80879</v>
      </c>
      <c r="G29" s="34">
        <f t="shared" si="2"/>
        <v>50.52701714</v>
      </c>
      <c r="H29" s="33">
        <v>95.23504</v>
      </c>
      <c r="I29" s="34">
        <f t="shared" si="3"/>
        <v>0</v>
      </c>
      <c r="J29" s="33">
        <v>87.69771</v>
      </c>
      <c r="K29" s="34">
        <f t="shared" si="4"/>
        <v>0</v>
      </c>
      <c r="L29" s="33">
        <v>93.53904</v>
      </c>
      <c r="M29" s="34">
        <f t="shared" si="5"/>
        <v>0</v>
      </c>
      <c r="N29" s="33">
        <v>88.52321</v>
      </c>
      <c r="O29" s="34">
        <f t="shared" si="6"/>
        <v>0</v>
      </c>
      <c r="P29" s="33">
        <v>86.66792</v>
      </c>
      <c r="Q29" s="34">
        <f t="shared" si="7"/>
        <v>0</v>
      </c>
      <c r="R29" s="33">
        <v>89.1637</v>
      </c>
      <c r="S29" s="34">
        <f t="shared" si="8"/>
        <v>1.417952874</v>
      </c>
      <c r="T29" s="33">
        <v>92.5887</v>
      </c>
      <c r="U29" s="34">
        <f t="shared" si="9"/>
        <v>0</v>
      </c>
      <c r="V29" s="33">
        <v>89.31311</v>
      </c>
      <c r="W29" s="34">
        <f t="shared" si="10"/>
        <v>41.58015402</v>
      </c>
      <c r="X29" s="33">
        <v>89.97318</v>
      </c>
      <c r="Y29" s="34">
        <f t="shared" si="11"/>
        <v>0</v>
      </c>
      <c r="Z29" s="33">
        <v>85.23872</v>
      </c>
      <c r="AA29" s="34">
        <f t="shared" si="12"/>
        <v>0</v>
      </c>
      <c r="AB29" s="33">
        <v>86.15696</v>
      </c>
      <c r="AC29" s="34">
        <f t="shared" si="13"/>
        <v>6.477897758</v>
      </c>
      <c r="AD29" s="33">
        <v>91.54236</v>
      </c>
      <c r="AE29" s="34">
        <f t="shared" si="14"/>
        <v>13.29428517</v>
      </c>
      <c r="AF29" s="33">
        <v>96.61313</v>
      </c>
      <c r="AG29" s="34">
        <f t="shared" si="15"/>
        <v>0</v>
      </c>
      <c r="AH29" s="33">
        <v>90.62136</v>
      </c>
      <c r="AI29" s="34">
        <f t="shared" si="16"/>
        <v>0</v>
      </c>
      <c r="AJ29" s="33">
        <v>86.26346</v>
      </c>
      <c r="AK29" s="34">
        <f t="shared" si="17"/>
        <v>0</v>
      </c>
      <c r="AL29" s="33">
        <v>95.33201</v>
      </c>
      <c r="AM29" s="34">
        <f t="shared" si="18"/>
        <v>0</v>
      </c>
    </row>
    <row r="30">
      <c r="A30" s="32">
        <v>45858.0</v>
      </c>
      <c r="B30" s="33">
        <v>89.85831</v>
      </c>
      <c r="C30" s="34">
        <f t="shared" si="19"/>
        <v>0</v>
      </c>
      <c r="D30" s="33">
        <v>94.24694</v>
      </c>
      <c r="E30" s="34">
        <f t="shared" si="1"/>
        <v>0</v>
      </c>
      <c r="F30" s="33">
        <v>86.43807</v>
      </c>
      <c r="G30" s="34">
        <f t="shared" si="2"/>
        <v>50.94850142</v>
      </c>
      <c r="H30" s="33">
        <v>97.85601</v>
      </c>
      <c r="I30" s="34">
        <f t="shared" si="3"/>
        <v>0</v>
      </c>
      <c r="J30" s="33">
        <v>87.92389</v>
      </c>
      <c r="K30" s="34">
        <f t="shared" si="4"/>
        <v>0</v>
      </c>
      <c r="L30" s="33">
        <v>91.20371</v>
      </c>
      <c r="M30" s="34">
        <f t="shared" si="5"/>
        <v>0</v>
      </c>
      <c r="N30" s="33">
        <v>86.26936</v>
      </c>
      <c r="O30" s="34">
        <f t="shared" si="6"/>
        <v>0</v>
      </c>
      <c r="P30" s="33">
        <v>83.47358</v>
      </c>
      <c r="Q30" s="34">
        <f t="shared" si="7"/>
        <v>0.933839761</v>
      </c>
      <c r="R30" s="33">
        <v>89.14836</v>
      </c>
      <c r="S30" s="34">
        <f t="shared" si="8"/>
        <v>0</v>
      </c>
      <c r="T30" s="33">
        <v>94.93991</v>
      </c>
      <c r="U30" s="34">
        <f t="shared" si="9"/>
        <v>0</v>
      </c>
      <c r="V30" s="33">
        <v>87.40796</v>
      </c>
      <c r="W30" s="34">
        <f t="shared" si="10"/>
        <v>41.80362528</v>
      </c>
      <c r="X30" s="33">
        <v>89.59478</v>
      </c>
      <c r="Y30" s="34">
        <f t="shared" si="11"/>
        <v>0</v>
      </c>
      <c r="Z30" s="33">
        <v>81.43386</v>
      </c>
      <c r="AA30" s="34">
        <f t="shared" si="12"/>
        <v>3.431018897</v>
      </c>
      <c r="AB30" s="33">
        <v>89.585</v>
      </c>
      <c r="AC30" s="34">
        <f t="shared" si="13"/>
        <v>5.890831851</v>
      </c>
      <c r="AD30" s="33">
        <v>93.54038</v>
      </c>
      <c r="AE30" s="34">
        <f t="shared" si="14"/>
        <v>10.62936646</v>
      </c>
      <c r="AF30" s="33">
        <v>92.21743</v>
      </c>
      <c r="AG30" s="34">
        <f t="shared" si="15"/>
        <v>0</v>
      </c>
      <c r="AH30" s="33">
        <v>88.97402</v>
      </c>
      <c r="AI30" s="34">
        <f t="shared" si="16"/>
        <v>0</v>
      </c>
      <c r="AJ30" s="33">
        <v>83.69342</v>
      </c>
      <c r="AK30" s="34">
        <f t="shared" si="17"/>
        <v>1.756128621</v>
      </c>
      <c r="AL30" s="33">
        <v>89.37179</v>
      </c>
      <c r="AM30" s="34">
        <f t="shared" si="18"/>
        <v>0</v>
      </c>
    </row>
    <row r="31">
      <c r="A31" s="32">
        <v>45859.0</v>
      </c>
      <c r="B31" s="33">
        <v>88.81753</v>
      </c>
      <c r="C31" s="34">
        <f t="shared" si="19"/>
        <v>0</v>
      </c>
      <c r="D31" s="33">
        <v>90.9747</v>
      </c>
      <c r="E31" s="34">
        <f t="shared" si="1"/>
        <v>0</v>
      </c>
      <c r="F31" s="33">
        <v>88.35988</v>
      </c>
      <c r="G31" s="34">
        <f t="shared" si="2"/>
        <v>49.44817571</v>
      </c>
      <c r="H31" s="33">
        <v>97.77243</v>
      </c>
      <c r="I31" s="34">
        <f t="shared" si="3"/>
        <v>0</v>
      </c>
      <c r="J31" s="33">
        <v>85.22039</v>
      </c>
      <c r="K31" s="34">
        <f t="shared" si="4"/>
        <v>0</v>
      </c>
      <c r="L31" s="33">
        <v>88.9135</v>
      </c>
      <c r="M31" s="34">
        <f t="shared" si="5"/>
        <v>0</v>
      </c>
      <c r="N31" s="33">
        <v>86.58996</v>
      </c>
      <c r="O31" s="34">
        <f t="shared" si="6"/>
        <v>0</v>
      </c>
      <c r="P31" s="33">
        <v>85.78624</v>
      </c>
      <c r="Q31" s="34">
        <f t="shared" si="7"/>
        <v>0</v>
      </c>
      <c r="R31" s="33">
        <v>88.09272</v>
      </c>
      <c r="S31" s="34">
        <f t="shared" si="8"/>
        <v>0</v>
      </c>
      <c r="T31" s="33">
        <v>93.13527</v>
      </c>
      <c r="U31" s="34">
        <f t="shared" si="9"/>
        <v>0</v>
      </c>
      <c r="V31" s="33">
        <v>86.33714</v>
      </c>
      <c r="W31" s="34">
        <f t="shared" si="10"/>
        <v>43.09791655</v>
      </c>
      <c r="X31" s="33">
        <v>92.5936</v>
      </c>
      <c r="Y31" s="34">
        <f t="shared" si="11"/>
        <v>0</v>
      </c>
      <c r="Z31" s="33">
        <v>81.47152</v>
      </c>
      <c r="AA31" s="34">
        <f t="shared" si="12"/>
        <v>6.824377794</v>
      </c>
      <c r="AB31" s="33">
        <v>91.02292</v>
      </c>
      <c r="AC31" s="34">
        <f t="shared" si="13"/>
        <v>3.865845943</v>
      </c>
      <c r="AD31" s="33">
        <v>92.69435</v>
      </c>
      <c r="AE31" s="34">
        <f t="shared" si="14"/>
        <v>8.810477749</v>
      </c>
      <c r="AF31" s="33">
        <v>88.00946</v>
      </c>
      <c r="AG31" s="34">
        <f t="shared" si="15"/>
        <v>0.1076460617</v>
      </c>
      <c r="AH31" s="33">
        <v>90.39402</v>
      </c>
      <c r="AI31" s="34">
        <f t="shared" si="16"/>
        <v>0</v>
      </c>
      <c r="AJ31" s="33">
        <v>81.90466</v>
      </c>
      <c r="AK31" s="34">
        <f t="shared" si="17"/>
        <v>5.301017241</v>
      </c>
      <c r="AL31" s="33">
        <v>96.71676</v>
      </c>
      <c r="AM31" s="34">
        <f t="shared" si="18"/>
        <v>0</v>
      </c>
    </row>
    <row r="32">
      <c r="A32" s="32">
        <v>45860.0</v>
      </c>
      <c r="B32" s="33">
        <v>83.84436</v>
      </c>
      <c r="C32" s="34">
        <f t="shared" si="19"/>
        <v>0</v>
      </c>
      <c r="D32" s="33">
        <v>85.89195</v>
      </c>
      <c r="E32" s="34">
        <f t="shared" si="1"/>
        <v>0</v>
      </c>
      <c r="F32" s="33">
        <v>84.99747</v>
      </c>
      <c r="G32" s="34">
        <f t="shared" si="2"/>
        <v>51.31025999</v>
      </c>
      <c r="H32" s="33">
        <v>91.09476</v>
      </c>
      <c r="I32" s="34">
        <f t="shared" si="3"/>
        <v>0</v>
      </c>
      <c r="J32" s="33">
        <v>82.94029</v>
      </c>
      <c r="K32" s="34">
        <f t="shared" si="4"/>
        <v>1.958736252</v>
      </c>
      <c r="L32" s="33">
        <v>92.58188</v>
      </c>
      <c r="M32" s="34">
        <f t="shared" si="5"/>
        <v>0</v>
      </c>
      <c r="N32" s="33">
        <v>86.20403</v>
      </c>
      <c r="O32" s="34">
        <f t="shared" si="6"/>
        <v>0</v>
      </c>
      <c r="P32" s="33">
        <v>85.37803</v>
      </c>
      <c r="Q32" s="34">
        <f t="shared" si="7"/>
        <v>0</v>
      </c>
      <c r="R32" s="33">
        <v>86.9073</v>
      </c>
      <c r="S32" s="34">
        <f t="shared" si="8"/>
        <v>0</v>
      </c>
      <c r="T32" s="33">
        <v>91.0624</v>
      </c>
      <c r="U32" s="34">
        <f t="shared" si="9"/>
        <v>0</v>
      </c>
      <c r="V32" s="33">
        <v>84.14626</v>
      </c>
      <c r="W32" s="34">
        <f t="shared" si="10"/>
        <v>46.58308781</v>
      </c>
      <c r="X32" s="33">
        <v>91.19793</v>
      </c>
      <c r="Y32" s="34">
        <f t="shared" si="11"/>
        <v>0</v>
      </c>
      <c r="Z32" s="33">
        <v>81.13893</v>
      </c>
      <c r="AA32" s="34">
        <f t="shared" si="12"/>
        <v>10.55032669</v>
      </c>
      <c r="AB32" s="33">
        <v>89.31165</v>
      </c>
      <c r="AC32" s="34">
        <f t="shared" si="13"/>
        <v>3.552130036</v>
      </c>
      <c r="AD32" s="33">
        <v>89.13021</v>
      </c>
      <c r="AE32" s="34">
        <f t="shared" si="14"/>
        <v>10.55572904</v>
      </c>
      <c r="AF32" s="33">
        <v>87.39852</v>
      </c>
      <c r="AG32" s="34">
        <f t="shared" si="15"/>
        <v>0.8262321235</v>
      </c>
      <c r="AH32" s="33">
        <v>87.41179</v>
      </c>
      <c r="AI32" s="34">
        <f t="shared" si="16"/>
        <v>0</v>
      </c>
      <c r="AJ32" s="33">
        <v>81.43712</v>
      </c>
      <c r="AK32" s="34">
        <f t="shared" si="17"/>
        <v>9.313445862</v>
      </c>
      <c r="AL32" s="33">
        <v>94.03997</v>
      </c>
      <c r="AM32" s="34">
        <f t="shared" si="18"/>
        <v>0</v>
      </c>
    </row>
    <row r="33">
      <c r="A33" s="32">
        <v>45861.0</v>
      </c>
      <c r="B33" s="33">
        <v>87.03232</v>
      </c>
      <c r="C33" s="34">
        <f t="shared" si="19"/>
        <v>0</v>
      </c>
      <c r="D33" s="33">
        <v>90.99183</v>
      </c>
      <c r="E33" s="34">
        <f t="shared" si="1"/>
        <v>0</v>
      </c>
      <c r="F33" s="33">
        <v>91.35431</v>
      </c>
      <c r="G33" s="34">
        <f t="shared" si="2"/>
        <v>46.81550428</v>
      </c>
      <c r="H33" s="33">
        <v>95.80357</v>
      </c>
      <c r="I33" s="34">
        <f t="shared" si="3"/>
        <v>0</v>
      </c>
      <c r="J33" s="33">
        <v>84.18702</v>
      </c>
      <c r="K33" s="34">
        <f t="shared" si="4"/>
        <v>2.670742503</v>
      </c>
      <c r="L33" s="33">
        <v>90.47046</v>
      </c>
      <c r="M33" s="34">
        <f t="shared" si="5"/>
        <v>0</v>
      </c>
      <c r="N33" s="33">
        <v>85.02705</v>
      </c>
      <c r="O33" s="34">
        <f t="shared" si="6"/>
        <v>0</v>
      </c>
      <c r="P33" s="33">
        <v>85.92067</v>
      </c>
      <c r="Q33" s="34">
        <f t="shared" si="7"/>
        <v>0</v>
      </c>
      <c r="R33" s="33">
        <v>88.49329</v>
      </c>
      <c r="S33" s="34">
        <f t="shared" si="8"/>
        <v>0</v>
      </c>
      <c r="T33" s="33">
        <v>89.56575</v>
      </c>
      <c r="U33" s="34">
        <f t="shared" si="9"/>
        <v>0</v>
      </c>
      <c r="V33" s="33">
        <v>78.54695</v>
      </c>
      <c r="W33" s="34">
        <f t="shared" si="10"/>
        <v>55.66756908</v>
      </c>
      <c r="X33" s="33">
        <v>91.35192</v>
      </c>
      <c r="Y33" s="34">
        <f t="shared" si="11"/>
        <v>0</v>
      </c>
      <c r="Z33" s="33">
        <v>81.56258</v>
      </c>
      <c r="AA33" s="34">
        <f t="shared" si="12"/>
        <v>13.85262559</v>
      </c>
      <c r="AB33" s="33">
        <v>92.1499</v>
      </c>
      <c r="AC33" s="34">
        <f t="shared" si="13"/>
        <v>0.4001641283</v>
      </c>
      <c r="AD33" s="33">
        <v>91.24982</v>
      </c>
      <c r="AE33" s="34">
        <f t="shared" si="14"/>
        <v>10.18137033</v>
      </c>
      <c r="AF33" s="33">
        <v>90.45153</v>
      </c>
      <c r="AG33" s="34">
        <f t="shared" si="15"/>
        <v>0</v>
      </c>
      <c r="AH33" s="33">
        <v>83.62242</v>
      </c>
      <c r="AI33" s="34">
        <f t="shared" si="16"/>
        <v>0</v>
      </c>
      <c r="AJ33" s="33">
        <v>80.86596</v>
      </c>
      <c r="AK33" s="34">
        <f t="shared" si="17"/>
        <v>13.89703448</v>
      </c>
      <c r="AL33" s="33">
        <v>92.26691</v>
      </c>
      <c r="AM33" s="34">
        <f t="shared" si="18"/>
        <v>0</v>
      </c>
    </row>
    <row r="34">
      <c r="A34" s="32">
        <v>45862.0</v>
      </c>
      <c r="B34" s="33">
        <v>88.03911</v>
      </c>
      <c r="C34" s="34">
        <f t="shared" si="19"/>
        <v>0.4073144245</v>
      </c>
      <c r="D34" s="33">
        <v>92.02395</v>
      </c>
      <c r="E34" s="34">
        <f t="shared" si="1"/>
        <v>0</v>
      </c>
      <c r="F34" s="33">
        <v>93.25036</v>
      </c>
      <c r="G34" s="34">
        <f t="shared" si="2"/>
        <v>40.42469857</v>
      </c>
      <c r="H34" s="33">
        <v>90.39048</v>
      </c>
      <c r="I34" s="34">
        <f t="shared" si="3"/>
        <v>0</v>
      </c>
      <c r="J34" s="33">
        <v>88.52386</v>
      </c>
      <c r="K34" s="34">
        <f t="shared" si="4"/>
        <v>0</v>
      </c>
      <c r="L34" s="33">
        <v>87.80345</v>
      </c>
      <c r="M34" s="34">
        <f t="shared" si="5"/>
        <v>0</v>
      </c>
      <c r="N34" s="33">
        <v>80.81123</v>
      </c>
      <c r="O34" s="34">
        <f t="shared" si="6"/>
        <v>2.699887231</v>
      </c>
      <c r="P34" s="33">
        <v>90.15141</v>
      </c>
      <c r="Q34" s="34">
        <f t="shared" si="7"/>
        <v>0</v>
      </c>
      <c r="R34" s="33">
        <v>89.22884</v>
      </c>
      <c r="S34" s="34">
        <f t="shared" si="8"/>
        <v>0</v>
      </c>
      <c r="T34" s="33">
        <v>85.91949</v>
      </c>
      <c r="U34" s="34">
        <f t="shared" si="9"/>
        <v>1.583278968</v>
      </c>
      <c r="V34" s="33">
        <v>80.52449</v>
      </c>
      <c r="W34" s="34">
        <f t="shared" si="10"/>
        <v>62.77451034</v>
      </c>
      <c r="X34" s="33">
        <v>88.80997</v>
      </c>
      <c r="Y34" s="34">
        <f t="shared" si="11"/>
        <v>0</v>
      </c>
      <c r="Z34" s="33">
        <v>86.24207</v>
      </c>
      <c r="AA34" s="34">
        <f t="shared" si="12"/>
        <v>12.47543448</v>
      </c>
      <c r="AB34" s="33">
        <v>95.66192</v>
      </c>
      <c r="AC34" s="34">
        <f t="shared" si="13"/>
        <v>0</v>
      </c>
      <c r="AD34" s="33">
        <v>90.67249</v>
      </c>
      <c r="AE34" s="34">
        <f t="shared" si="14"/>
        <v>10.38434162</v>
      </c>
      <c r="AF34" s="33">
        <v>93.82949</v>
      </c>
      <c r="AG34" s="34">
        <f t="shared" si="15"/>
        <v>0</v>
      </c>
      <c r="AH34" s="33">
        <v>82.20568</v>
      </c>
      <c r="AI34" s="34">
        <f t="shared" si="16"/>
        <v>0</v>
      </c>
      <c r="AJ34" s="33">
        <v>84.63923</v>
      </c>
      <c r="AK34" s="34">
        <f t="shared" si="17"/>
        <v>14.7073531</v>
      </c>
      <c r="AL34" s="33">
        <v>87.4926</v>
      </c>
      <c r="AM34" s="34">
        <f t="shared" si="18"/>
        <v>0</v>
      </c>
    </row>
    <row r="35">
      <c r="A35" s="32">
        <v>45863.0</v>
      </c>
      <c r="B35" s="33">
        <v>89.02515</v>
      </c>
      <c r="C35" s="34">
        <f t="shared" si="19"/>
        <v>0</v>
      </c>
      <c r="D35" s="33">
        <v>92.36191</v>
      </c>
      <c r="E35" s="34">
        <f t="shared" si="1"/>
        <v>0</v>
      </c>
      <c r="F35" s="33">
        <v>92.96928</v>
      </c>
      <c r="G35" s="34">
        <f t="shared" si="2"/>
        <v>34.31497285</v>
      </c>
      <c r="H35" s="33">
        <v>84.36426</v>
      </c>
      <c r="I35" s="34">
        <f t="shared" si="3"/>
        <v>4.195844469</v>
      </c>
      <c r="J35" s="33">
        <v>84.8475</v>
      </c>
      <c r="K35" s="34">
        <f t="shared" si="4"/>
        <v>0.05152625169</v>
      </c>
      <c r="L35" s="33">
        <v>86.94151</v>
      </c>
      <c r="M35" s="34">
        <f t="shared" si="5"/>
        <v>0.2089672738</v>
      </c>
      <c r="N35" s="33">
        <v>80.81349</v>
      </c>
      <c r="O35" s="34">
        <f t="shared" si="6"/>
        <v>5.397514463</v>
      </c>
      <c r="P35" s="33">
        <v>92.9961</v>
      </c>
      <c r="Q35" s="34">
        <f t="shared" si="7"/>
        <v>0</v>
      </c>
      <c r="R35" s="33">
        <v>87.50505</v>
      </c>
      <c r="S35" s="34">
        <f t="shared" si="8"/>
        <v>0</v>
      </c>
      <c r="T35" s="33">
        <v>85.18879</v>
      </c>
      <c r="U35" s="34">
        <f t="shared" si="9"/>
        <v>3.897257936</v>
      </c>
      <c r="V35" s="33">
        <v>83.72673</v>
      </c>
      <c r="W35" s="34">
        <f t="shared" si="10"/>
        <v>66.6792116</v>
      </c>
      <c r="X35" s="33">
        <v>86.51792</v>
      </c>
      <c r="Y35" s="34">
        <f t="shared" si="11"/>
        <v>0</v>
      </c>
      <c r="Z35" s="33">
        <v>86.34472</v>
      </c>
      <c r="AA35" s="34">
        <f t="shared" si="12"/>
        <v>10.99559338</v>
      </c>
      <c r="AB35" s="33">
        <v>93.90564</v>
      </c>
      <c r="AC35" s="34">
        <f t="shared" si="13"/>
        <v>0</v>
      </c>
      <c r="AD35" s="33">
        <v>91.47611</v>
      </c>
      <c r="AE35" s="34">
        <f t="shared" si="14"/>
        <v>9.783692914</v>
      </c>
      <c r="AF35" s="33">
        <v>95.25772</v>
      </c>
      <c r="AG35" s="34">
        <f t="shared" si="15"/>
        <v>0</v>
      </c>
      <c r="AH35" s="33">
        <v>83.9556</v>
      </c>
      <c r="AI35" s="34">
        <f t="shared" si="16"/>
        <v>0</v>
      </c>
      <c r="AJ35" s="33">
        <v>85.70621</v>
      </c>
      <c r="AK35" s="34">
        <f t="shared" si="17"/>
        <v>14.45069172</v>
      </c>
      <c r="AL35" s="33">
        <v>89.30339</v>
      </c>
      <c r="AM35" s="34">
        <f t="shared" si="18"/>
        <v>0</v>
      </c>
    </row>
    <row r="36">
      <c r="A36" s="32">
        <v>45864.0</v>
      </c>
      <c r="B36" s="33">
        <v>89.17489</v>
      </c>
      <c r="C36" s="34">
        <f t="shared" si="19"/>
        <v>0</v>
      </c>
      <c r="D36" s="33">
        <v>88.29095</v>
      </c>
      <c r="E36" s="34">
        <f t="shared" si="1"/>
        <v>0</v>
      </c>
      <c r="F36" s="33">
        <v>93.08778</v>
      </c>
      <c r="G36" s="34">
        <f t="shared" si="2"/>
        <v>28.08674714</v>
      </c>
      <c r="H36" s="33">
        <v>79.99267</v>
      </c>
      <c r="I36" s="34">
        <f t="shared" si="3"/>
        <v>12.76327894</v>
      </c>
      <c r="J36" s="33">
        <v>87.19206</v>
      </c>
      <c r="K36" s="34">
        <f t="shared" si="4"/>
        <v>0</v>
      </c>
      <c r="L36" s="33">
        <v>89.99804</v>
      </c>
      <c r="M36" s="34">
        <f t="shared" si="5"/>
        <v>0</v>
      </c>
      <c r="N36" s="33">
        <v>87.69728</v>
      </c>
      <c r="O36" s="34">
        <f t="shared" si="6"/>
        <v>1.211351694</v>
      </c>
      <c r="P36" s="33">
        <v>94.30927</v>
      </c>
      <c r="Q36" s="34">
        <f t="shared" si="7"/>
        <v>0</v>
      </c>
      <c r="R36" s="33">
        <v>93.72969</v>
      </c>
      <c r="S36" s="34">
        <f t="shared" si="8"/>
        <v>0</v>
      </c>
      <c r="T36" s="33">
        <v>89.40572</v>
      </c>
      <c r="U36" s="34">
        <f t="shared" si="9"/>
        <v>1.994306904</v>
      </c>
      <c r="V36" s="33">
        <v>88.41494</v>
      </c>
      <c r="W36" s="34">
        <f t="shared" si="10"/>
        <v>65.89570287</v>
      </c>
      <c r="X36" s="33">
        <v>89.69028</v>
      </c>
      <c r="Y36" s="34">
        <f t="shared" si="11"/>
        <v>0</v>
      </c>
      <c r="Z36" s="33">
        <v>89.19728</v>
      </c>
      <c r="AA36" s="34">
        <f t="shared" si="12"/>
        <v>6.663192277</v>
      </c>
      <c r="AB36" s="33">
        <v>94.88473</v>
      </c>
      <c r="AC36" s="34">
        <f t="shared" si="13"/>
        <v>0</v>
      </c>
      <c r="AD36" s="33">
        <v>90.54861</v>
      </c>
      <c r="AE36" s="34">
        <f t="shared" si="14"/>
        <v>10.11054421</v>
      </c>
      <c r="AF36" s="33">
        <v>98.16234</v>
      </c>
      <c r="AG36" s="34">
        <f t="shared" si="15"/>
        <v>0</v>
      </c>
      <c r="AH36" s="33">
        <v>87.76695</v>
      </c>
      <c r="AI36" s="34">
        <f t="shared" si="16"/>
        <v>0</v>
      </c>
      <c r="AJ36" s="33">
        <v>86.25679</v>
      </c>
      <c r="AK36" s="34">
        <f t="shared" si="17"/>
        <v>13.64345034</v>
      </c>
      <c r="AL36" s="33">
        <v>88.89331</v>
      </c>
      <c r="AM36" s="34">
        <f t="shared" si="18"/>
        <v>0</v>
      </c>
    </row>
    <row r="37">
      <c r="A37" s="32">
        <v>45865.0</v>
      </c>
      <c r="B37" s="33">
        <v>91.16874</v>
      </c>
      <c r="C37" s="34">
        <f t="shared" si="19"/>
        <v>0</v>
      </c>
      <c r="D37" s="33">
        <v>90.20938</v>
      </c>
      <c r="E37" s="34">
        <f t="shared" si="1"/>
        <v>0</v>
      </c>
      <c r="F37" s="33">
        <v>93.04008</v>
      </c>
      <c r="G37" s="34">
        <f t="shared" si="2"/>
        <v>21.90622142</v>
      </c>
      <c r="H37" s="33">
        <v>81.34007</v>
      </c>
      <c r="I37" s="34">
        <f t="shared" si="3"/>
        <v>19.98331341</v>
      </c>
      <c r="J37" s="33">
        <v>88.73187</v>
      </c>
      <c r="K37" s="34">
        <f t="shared" si="4"/>
        <v>0</v>
      </c>
      <c r="L37" s="33">
        <v>88.45826</v>
      </c>
      <c r="M37" s="34">
        <f t="shared" si="5"/>
        <v>0</v>
      </c>
      <c r="N37" s="33">
        <v>89.3009</v>
      </c>
      <c r="O37" s="34">
        <f t="shared" si="6"/>
        <v>0</v>
      </c>
      <c r="P37" s="33">
        <v>91.20236</v>
      </c>
      <c r="Q37" s="34">
        <f t="shared" si="7"/>
        <v>0</v>
      </c>
      <c r="R37" s="33">
        <v>95.65599</v>
      </c>
      <c r="S37" s="34">
        <f t="shared" si="8"/>
        <v>0</v>
      </c>
      <c r="T37" s="33">
        <v>92.69789</v>
      </c>
      <c r="U37" s="34">
        <f t="shared" si="9"/>
        <v>0</v>
      </c>
      <c r="V37" s="33">
        <v>88.12206</v>
      </c>
      <c r="W37" s="34">
        <f t="shared" si="10"/>
        <v>65.40507413</v>
      </c>
      <c r="X37" s="33">
        <v>89.25166</v>
      </c>
      <c r="Y37" s="34">
        <f t="shared" si="11"/>
        <v>0</v>
      </c>
      <c r="Z37" s="33">
        <v>93.11807</v>
      </c>
      <c r="AA37" s="34">
        <f t="shared" si="12"/>
        <v>0</v>
      </c>
      <c r="AB37" s="33">
        <v>95.7751</v>
      </c>
      <c r="AC37" s="34">
        <f t="shared" si="13"/>
        <v>0</v>
      </c>
      <c r="AD37" s="33">
        <v>93.03226</v>
      </c>
      <c r="AE37" s="34">
        <f t="shared" si="14"/>
        <v>7.953745497</v>
      </c>
      <c r="AF37" s="33">
        <v>97.73113</v>
      </c>
      <c r="AG37" s="34">
        <f t="shared" si="15"/>
        <v>0</v>
      </c>
      <c r="AH37" s="33">
        <v>86.15454</v>
      </c>
      <c r="AI37" s="34">
        <f t="shared" si="16"/>
        <v>0</v>
      </c>
      <c r="AJ37" s="33">
        <v>87.12025</v>
      </c>
      <c r="AK37" s="34">
        <f t="shared" si="17"/>
        <v>11.97274896</v>
      </c>
      <c r="AL37" s="33">
        <v>89.78845</v>
      </c>
      <c r="AM37" s="34">
        <f t="shared" si="18"/>
        <v>0</v>
      </c>
    </row>
    <row r="38">
      <c r="A38" s="32">
        <v>45866.0</v>
      </c>
      <c r="B38" s="33">
        <v>91.17478</v>
      </c>
      <c r="C38" s="34">
        <f t="shared" si="19"/>
        <v>0</v>
      </c>
      <c r="D38" s="33">
        <v>83.57666</v>
      </c>
      <c r="E38" s="34">
        <f t="shared" si="1"/>
        <v>0</v>
      </c>
      <c r="F38" s="33">
        <v>96.22868</v>
      </c>
      <c r="G38" s="34">
        <f t="shared" si="2"/>
        <v>12.53709571</v>
      </c>
      <c r="H38" s="33">
        <v>88.28254</v>
      </c>
      <c r="I38" s="34">
        <f t="shared" si="3"/>
        <v>20.26087788</v>
      </c>
      <c r="J38" s="33">
        <v>91.27512</v>
      </c>
      <c r="K38" s="34">
        <f t="shared" si="4"/>
        <v>0</v>
      </c>
      <c r="L38" s="33">
        <v>88.71211</v>
      </c>
      <c r="M38" s="34">
        <f t="shared" si="5"/>
        <v>0</v>
      </c>
      <c r="N38" s="33">
        <v>88.04537</v>
      </c>
      <c r="O38" s="34">
        <f t="shared" si="6"/>
        <v>0</v>
      </c>
      <c r="P38" s="33">
        <v>87.39609</v>
      </c>
      <c r="Q38" s="34">
        <f t="shared" si="7"/>
        <v>0</v>
      </c>
      <c r="R38" s="33">
        <v>96.059</v>
      </c>
      <c r="S38" s="34">
        <f t="shared" si="8"/>
        <v>0</v>
      </c>
      <c r="T38" s="33">
        <v>96.53069</v>
      </c>
      <c r="U38" s="34">
        <f t="shared" si="9"/>
        <v>0</v>
      </c>
      <c r="V38" s="33">
        <v>91.07455</v>
      </c>
      <c r="W38" s="34">
        <f t="shared" si="10"/>
        <v>61.9619554</v>
      </c>
      <c r="X38" s="33">
        <v>90.62039</v>
      </c>
      <c r="Y38" s="34">
        <f t="shared" si="11"/>
        <v>0</v>
      </c>
      <c r="Z38" s="33">
        <v>92.27632</v>
      </c>
      <c r="AA38" s="34">
        <f t="shared" si="12"/>
        <v>0</v>
      </c>
      <c r="AB38" s="33">
        <v>95.12656</v>
      </c>
      <c r="AC38" s="34">
        <f t="shared" si="13"/>
        <v>0</v>
      </c>
      <c r="AD38" s="33">
        <v>94.36</v>
      </c>
      <c r="AE38" s="34">
        <f t="shared" si="14"/>
        <v>4.469206789</v>
      </c>
      <c r="AF38" s="33">
        <v>96.80755</v>
      </c>
      <c r="AG38" s="34">
        <f t="shared" si="15"/>
        <v>0</v>
      </c>
      <c r="AH38" s="33">
        <v>83.16346</v>
      </c>
      <c r="AI38" s="34">
        <f t="shared" si="16"/>
        <v>0</v>
      </c>
      <c r="AJ38" s="33">
        <v>91.5819</v>
      </c>
      <c r="AK38" s="34">
        <f t="shared" si="17"/>
        <v>5.840397585</v>
      </c>
      <c r="AL38" s="33">
        <v>91.11787</v>
      </c>
      <c r="AM38" s="34">
        <f t="shared" si="18"/>
        <v>0</v>
      </c>
    </row>
    <row r="39">
      <c r="A39" s="32">
        <v>45867.0</v>
      </c>
      <c r="B39" s="33">
        <v>89.11179</v>
      </c>
      <c r="C39" s="34">
        <f t="shared" si="19"/>
        <v>0</v>
      </c>
      <c r="D39" s="33">
        <v>84.56665</v>
      </c>
      <c r="E39" s="34">
        <f t="shared" si="1"/>
        <v>1.251280649</v>
      </c>
      <c r="F39" s="33">
        <v>92.16233</v>
      </c>
      <c r="G39" s="34">
        <f t="shared" si="2"/>
        <v>7.234319992</v>
      </c>
      <c r="H39" s="33">
        <v>89.00809</v>
      </c>
      <c r="I39" s="34">
        <f t="shared" si="3"/>
        <v>19.81289235</v>
      </c>
      <c r="J39" s="33">
        <v>84.81777</v>
      </c>
      <c r="K39" s="34">
        <f t="shared" si="4"/>
        <v>0.08125625169</v>
      </c>
      <c r="L39" s="33">
        <v>91.00283</v>
      </c>
      <c r="M39" s="34">
        <f t="shared" si="5"/>
        <v>0</v>
      </c>
      <c r="N39" s="33">
        <v>88.96962</v>
      </c>
      <c r="O39" s="34">
        <f t="shared" si="6"/>
        <v>0</v>
      </c>
      <c r="P39" s="33">
        <v>88.34205</v>
      </c>
      <c r="Q39" s="34">
        <f t="shared" si="7"/>
        <v>0</v>
      </c>
      <c r="R39" s="33">
        <v>91.31544</v>
      </c>
      <c r="S39" s="34">
        <f t="shared" si="8"/>
        <v>0</v>
      </c>
      <c r="T39" s="33">
        <v>94.96383</v>
      </c>
      <c r="U39" s="34">
        <f t="shared" si="9"/>
        <v>0</v>
      </c>
      <c r="V39" s="33">
        <v>87.76006</v>
      </c>
      <c r="W39" s="34">
        <f t="shared" si="10"/>
        <v>61.83332666</v>
      </c>
      <c r="X39" s="33">
        <v>90.52875</v>
      </c>
      <c r="Y39" s="34">
        <f t="shared" si="11"/>
        <v>0</v>
      </c>
      <c r="Z39" s="33">
        <v>88.2534</v>
      </c>
      <c r="AA39" s="34">
        <f t="shared" si="12"/>
        <v>0</v>
      </c>
      <c r="AB39" s="33">
        <v>89.88537</v>
      </c>
      <c r="AC39" s="34">
        <f t="shared" si="13"/>
        <v>0</v>
      </c>
      <c r="AD39" s="33">
        <v>91.58257</v>
      </c>
      <c r="AE39" s="34">
        <f t="shared" si="14"/>
        <v>3.76209808</v>
      </c>
      <c r="AF39" s="33">
        <v>98.26306</v>
      </c>
      <c r="AG39" s="34">
        <f t="shared" si="15"/>
        <v>0</v>
      </c>
      <c r="AH39" s="33">
        <v>85.42333</v>
      </c>
      <c r="AI39" s="34">
        <f t="shared" si="16"/>
        <v>0</v>
      </c>
      <c r="AJ39" s="33">
        <v>90.44234</v>
      </c>
      <c r="AK39" s="34">
        <f t="shared" si="17"/>
        <v>0.8476062057</v>
      </c>
      <c r="AL39" s="33">
        <v>91.47646</v>
      </c>
      <c r="AM39" s="34">
        <f t="shared" si="18"/>
        <v>0</v>
      </c>
    </row>
    <row r="40">
      <c r="A40" s="32">
        <v>45868.0</v>
      </c>
      <c r="B40" s="33">
        <v>87.99288</v>
      </c>
      <c r="C40" s="34">
        <f t="shared" si="19"/>
        <v>0</v>
      </c>
      <c r="D40" s="33">
        <v>86.47754</v>
      </c>
      <c r="E40" s="34">
        <f t="shared" si="1"/>
        <v>1.512571298</v>
      </c>
      <c r="F40" s="33">
        <v>91.50335</v>
      </c>
      <c r="G40" s="34">
        <f t="shared" si="2"/>
        <v>2.590524278</v>
      </c>
      <c r="H40" s="33">
        <v>88.77665</v>
      </c>
      <c r="I40" s="34">
        <f t="shared" si="3"/>
        <v>19.59634681</v>
      </c>
      <c r="J40" s="33">
        <v>86.98186</v>
      </c>
      <c r="K40" s="34">
        <f t="shared" si="4"/>
        <v>0</v>
      </c>
      <c r="L40" s="33">
        <v>89.94205</v>
      </c>
      <c r="M40" s="34">
        <f t="shared" si="5"/>
        <v>0</v>
      </c>
      <c r="N40" s="33">
        <v>86.85906</v>
      </c>
      <c r="O40" s="34">
        <f t="shared" si="6"/>
        <v>0</v>
      </c>
      <c r="P40" s="33">
        <v>85.58516</v>
      </c>
      <c r="Q40" s="34">
        <f t="shared" si="7"/>
        <v>0</v>
      </c>
      <c r="R40" s="33">
        <v>84.95608</v>
      </c>
      <c r="S40" s="34">
        <f t="shared" si="8"/>
        <v>0</v>
      </c>
      <c r="T40" s="33">
        <v>91.76903</v>
      </c>
      <c r="U40" s="34">
        <f t="shared" si="9"/>
        <v>0</v>
      </c>
      <c r="V40" s="33">
        <v>87.35972</v>
      </c>
      <c r="W40" s="34">
        <f t="shared" si="10"/>
        <v>62.10503792</v>
      </c>
      <c r="X40" s="33">
        <v>92.74708</v>
      </c>
      <c r="Y40" s="34">
        <f t="shared" si="11"/>
        <v>0</v>
      </c>
      <c r="Z40" s="33">
        <v>86.45512</v>
      </c>
      <c r="AA40" s="34">
        <f t="shared" si="12"/>
        <v>0</v>
      </c>
      <c r="AB40" s="33">
        <v>92.70332</v>
      </c>
      <c r="AC40" s="34">
        <f t="shared" si="13"/>
        <v>0</v>
      </c>
      <c r="AD40" s="33">
        <v>92.23252</v>
      </c>
      <c r="AE40" s="34">
        <f t="shared" si="14"/>
        <v>2.405039372</v>
      </c>
      <c r="AF40" s="33">
        <v>95.65553</v>
      </c>
      <c r="AG40" s="34">
        <f t="shared" si="15"/>
        <v>0</v>
      </c>
      <c r="AH40" s="33">
        <v>86.9909</v>
      </c>
      <c r="AI40" s="34">
        <f t="shared" si="16"/>
        <v>0</v>
      </c>
      <c r="AJ40" s="33">
        <v>86.5629</v>
      </c>
      <c r="AK40" s="34">
        <f t="shared" si="17"/>
        <v>0</v>
      </c>
      <c r="AL40" s="33">
        <v>95.43018</v>
      </c>
      <c r="AM40" s="34">
        <f t="shared" si="18"/>
        <v>0</v>
      </c>
    </row>
    <row r="41">
      <c r="A41" s="32">
        <v>45869.0</v>
      </c>
      <c r="B41" s="33">
        <v>71.81436</v>
      </c>
      <c r="C41" s="34">
        <f t="shared" si="19"/>
        <v>0</v>
      </c>
      <c r="D41" s="33">
        <v>72.66068</v>
      </c>
      <c r="E41" s="34">
        <f t="shared" si="1"/>
        <v>0</v>
      </c>
      <c r="F41" s="33">
        <v>81.07048</v>
      </c>
      <c r="G41" s="34">
        <f t="shared" si="2"/>
        <v>8.379598563</v>
      </c>
      <c r="H41" s="33">
        <v>76.1686</v>
      </c>
      <c r="I41" s="34">
        <f t="shared" si="3"/>
        <v>31.98785128</v>
      </c>
      <c r="J41" s="33">
        <v>79.34065</v>
      </c>
      <c r="K41" s="34">
        <f t="shared" si="4"/>
        <v>5.558376252</v>
      </c>
      <c r="L41" s="33">
        <v>80.87756</v>
      </c>
      <c r="M41" s="34">
        <f t="shared" si="5"/>
        <v>6.272917274</v>
      </c>
      <c r="N41" s="33">
        <v>79.53151</v>
      </c>
      <c r="O41" s="34">
        <f t="shared" si="6"/>
        <v>3.979607231</v>
      </c>
      <c r="P41" s="33">
        <v>84.80389</v>
      </c>
      <c r="Q41" s="34">
        <f t="shared" si="7"/>
        <v>0</v>
      </c>
      <c r="R41" s="33">
        <v>77.69622</v>
      </c>
      <c r="S41" s="34">
        <f t="shared" si="8"/>
        <v>7.083714836</v>
      </c>
      <c r="T41" s="33">
        <v>91.40724</v>
      </c>
      <c r="U41" s="34">
        <f t="shared" si="9"/>
        <v>0</v>
      </c>
      <c r="V41" s="33">
        <v>91.28575</v>
      </c>
      <c r="W41" s="34">
        <f t="shared" si="10"/>
        <v>58.45071919</v>
      </c>
      <c r="X41" s="33">
        <v>90.53465</v>
      </c>
      <c r="Y41" s="34">
        <f t="shared" si="11"/>
        <v>0</v>
      </c>
      <c r="Z41" s="33">
        <v>83.15855</v>
      </c>
      <c r="AA41" s="34">
        <f t="shared" si="12"/>
        <v>1.706328897</v>
      </c>
      <c r="AB41" s="33">
        <v>95.20354</v>
      </c>
      <c r="AC41" s="34">
        <f t="shared" si="13"/>
        <v>0</v>
      </c>
      <c r="AD41" s="33">
        <v>95.17556</v>
      </c>
      <c r="AE41" s="34">
        <f t="shared" si="14"/>
        <v>0</v>
      </c>
      <c r="AF41" s="33">
        <v>95.71249</v>
      </c>
      <c r="AG41" s="34">
        <f t="shared" si="15"/>
        <v>0</v>
      </c>
      <c r="AH41" s="33">
        <v>87.10312</v>
      </c>
      <c r="AI41" s="34">
        <f t="shared" si="16"/>
        <v>0</v>
      </c>
      <c r="AJ41" s="33">
        <v>80.85021</v>
      </c>
      <c r="AK41" s="34">
        <f t="shared" si="17"/>
        <v>4.599338621</v>
      </c>
      <c r="AL41" s="33">
        <v>91.88784</v>
      </c>
      <c r="AM41" s="34">
        <f t="shared" si="18"/>
        <v>0</v>
      </c>
    </row>
    <row r="42">
      <c r="A42" s="32">
        <v>45870.0</v>
      </c>
      <c r="B42" s="33">
        <v>79.85955</v>
      </c>
      <c r="C42" s="34">
        <f t="shared" si="19"/>
        <v>0</v>
      </c>
      <c r="D42" s="33">
        <v>89.39169</v>
      </c>
      <c r="E42" s="34">
        <f t="shared" si="1"/>
        <v>12.16726065</v>
      </c>
      <c r="F42" s="33">
        <v>97.29275</v>
      </c>
      <c r="G42" s="34">
        <f t="shared" si="2"/>
        <v>0</v>
      </c>
      <c r="H42" s="33">
        <v>82.96679</v>
      </c>
      <c r="I42" s="34">
        <f t="shared" si="3"/>
        <v>37.58116575</v>
      </c>
      <c r="J42" s="33">
        <v>83.26332</v>
      </c>
      <c r="K42" s="34">
        <f t="shared" si="4"/>
        <v>7.194082503</v>
      </c>
      <c r="L42" s="33">
        <v>84.3014</v>
      </c>
      <c r="M42" s="34">
        <f t="shared" si="5"/>
        <v>9.121994548</v>
      </c>
      <c r="N42" s="33">
        <v>82.43329</v>
      </c>
      <c r="O42" s="34">
        <f t="shared" si="6"/>
        <v>5.057434463</v>
      </c>
      <c r="P42" s="33">
        <v>84.08083</v>
      </c>
      <c r="Q42" s="34">
        <f t="shared" si="7"/>
        <v>0.326589761</v>
      </c>
      <c r="R42" s="33">
        <v>78.07029</v>
      </c>
      <c r="S42" s="34">
        <f t="shared" si="8"/>
        <v>13.79335967</v>
      </c>
      <c r="T42" s="33">
        <v>88.82534</v>
      </c>
      <c r="U42" s="34">
        <f t="shared" si="9"/>
        <v>0</v>
      </c>
      <c r="V42" s="33">
        <v>86.89846</v>
      </c>
      <c r="W42" s="34">
        <f t="shared" si="10"/>
        <v>59.18369045</v>
      </c>
      <c r="X42" s="33">
        <v>86.6744</v>
      </c>
      <c r="Y42" s="34">
        <f t="shared" si="11"/>
        <v>0</v>
      </c>
      <c r="Z42" s="33">
        <v>83.22044</v>
      </c>
      <c r="AA42" s="34">
        <f t="shared" si="12"/>
        <v>3.350767794</v>
      </c>
      <c r="AB42" s="33">
        <v>94.74754</v>
      </c>
      <c r="AC42" s="34">
        <f t="shared" si="13"/>
        <v>0</v>
      </c>
      <c r="AD42" s="33">
        <v>95.70746</v>
      </c>
      <c r="AE42" s="34">
        <f t="shared" si="14"/>
        <v>0</v>
      </c>
      <c r="AF42" s="33">
        <v>89.42945</v>
      </c>
      <c r="AG42" s="34">
        <f t="shared" si="15"/>
        <v>0</v>
      </c>
      <c r="AH42" s="33">
        <v>83.82411</v>
      </c>
      <c r="AI42" s="34">
        <f t="shared" si="16"/>
        <v>0</v>
      </c>
      <c r="AJ42" s="33">
        <v>87.18686</v>
      </c>
      <c r="AK42" s="34">
        <f t="shared" si="17"/>
        <v>2.862027241</v>
      </c>
      <c r="AL42" s="33">
        <v>94.02743</v>
      </c>
      <c r="AM42" s="34">
        <f t="shared" si="18"/>
        <v>0</v>
      </c>
    </row>
    <row r="43">
      <c r="A43" s="32">
        <v>45871.0</v>
      </c>
      <c r="B43" s="33">
        <v>83.9399</v>
      </c>
      <c r="C43" s="34">
        <f t="shared" si="19"/>
        <v>12.43731442</v>
      </c>
      <c r="D43" s="33">
        <v>91.12006</v>
      </c>
      <c r="E43" s="34">
        <f t="shared" si="1"/>
        <v>7.603511298</v>
      </c>
      <c r="F43" s="33">
        <v>99.19555</v>
      </c>
      <c r="G43" s="34">
        <f t="shared" si="2"/>
        <v>0</v>
      </c>
      <c r="H43" s="33">
        <v>86.69104</v>
      </c>
      <c r="I43" s="34">
        <f t="shared" si="3"/>
        <v>39.45023022</v>
      </c>
      <c r="J43" s="33">
        <v>83.62188</v>
      </c>
      <c r="K43" s="34">
        <f t="shared" si="4"/>
        <v>8.471228755</v>
      </c>
      <c r="L43" s="33">
        <v>89.84735</v>
      </c>
      <c r="M43" s="34">
        <f t="shared" si="5"/>
        <v>6.425121821</v>
      </c>
      <c r="N43" s="33">
        <v>81.66661</v>
      </c>
      <c r="O43" s="34">
        <f t="shared" si="6"/>
        <v>6.901941694</v>
      </c>
      <c r="P43" s="33">
        <v>87.01481</v>
      </c>
      <c r="Q43" s="34">
        <f t="shared" si="7"/>
        <v>0</v>
      </c>
      <c r="R43" s="33">
        <v>78.19495</v>
      </c>
      <c r="S43" s="34">
        <f t="shared" si="8"/>
        <v>20.37834451</v>
      </c>
      <c r="T43" s="33">
        <v>91.25474</v>
      </c>
      <c r="U43" s="34">
        <f t="shared" si="9"/>
        <v>0</v>
      </c>
      <c r="V43" s="33">
        <v>88.10398</v>
      </c>
      <c r="W43" s="34">
        <f t="shared" si="10"/>
        <v>58.71114172</v>
      </c>
      <c r="X43" s="33">
        <v>85.78956</v>
      </c>
      <c r="Y43" s="34">
        <f t="shared" si="11"/>
        <v>0</v>
      </c>
      <c r="Z43" s="33">
        <v>85.44158</v>
      </c>
      <c r="AA43" s="34">
        <f t="shared" si="12"/>
        <v>2.77406669</v>
      </c>
      <c r="AB43" s="33">
        <v>92.23498</v>
      </c>
      <c r="AC43" s="34">
        <f t="shared" si="13"/>
        <v>0</v>
      </c>
      <c r="AD43" s="33">
        <v>87.24586</v>
      </c>
      <c r="AE43" s="34">
        <f t="shared" si="14"/>
        <v>3.629601291</v>
      </c>
      <c r="AF43" s="33">
        <v>89.95197</v>
      </c>
      <c r="AG43" s="34">
        <f t="shared" si="15"/>
        <v>0</v>
      </c>
      <c r="AH43" s="33">
        <v>84.37287</v>
      </c>
      <c r="AI43" s="34">
        <f t="shared" si="16"/>
        <v>0</v>
      </c>
      <c r="AJ43" s="33">
        <v>81.8536</v>
      </c>
      <c r="AK43" s="34">
        <f t="shared" si="17"/>
        <v>6.457975862</v>
      </c>
      <c r="AL43" s="33">
        <v>91.22537</v>
      </c>
      <c r="AM43" s="34">
        <f t="shared" si="18"/>
        <v>0</v>
      </c>
    </row>
    <row r="44">
      <c r="A44" s="32">
        <v>45872.0</v>
      </c>
      <c r="B44" s="33">
        <v>88.04844</v>
      </c>
      <c r="C44" s="34">
        <f t="shared" si="19"/>
        <v>16.82943885</v>
      </c>
      <c r="D44" s="33">
        <v>89.13696</v>
      </c>
      <c r="E44" s="34">
        <f t="shared" si="1"/>
        <v>1.311391946</v>
      </c>
      <c r="F44" s="33">
        <v>99.98924</v>
      </c>
      <c r="G44" s="34">
        <f t="shared" si="2"/>
        <v>0</v>
      </c>
      <c r="H44" s="33">
        <v>86.59131</v>
      </c>
      <c r="I44" s="34">
        <f t="shared" si="3"/>
        <v>41.41902469</v>
      </c>
      <c r="J44" s="33">
        <v>88.19067</v>
      </c>
      <c r="K44" s="34">
        <f t="shared" si="4"/>
        <v>5.179585007</v>
      </c>
      <c r="L44" s="33">
        <v>93.96061</v>
      </c>
      <c r="M44" s="34">
        <f t="shared" si="5"/>
        <v>0</v>
      </c>
      <c r="N44" s="33">
        <v>85.68934</v>
      </c>
      <c r="O44" s="34">
        <f t="shared" si="6"/>
        <v>4.723718925</v>
      </c>
      <c r="P44" s="33">
        <v>90.61653</v>
      </c>
      <c r="Q44" s="34">
        <f t="shared" si="7"/>
        <v>0</v>
      </c>
      <c r="R44" s="33">
        <v>84.43192</v>
      </c>
      <c r="S44" s="34">
        <f t="shared" si="8"/>
        <v>20.72635935</v>
      </c>
      <c r="T44" s="33">
        <v>93.91067</v>
      </c>
      <c r="U44" s="34">
        <f t="shared" si="9"/>
        <v>0</v>
      </c>
      <c r="V44" s="33">
        <v>90.72067</v>
      </c>
      <c r="W44" s="34">
        <f t="shared" si="10"/>
        <v>55.62190298</v>
      </c>
      <c r="X44" s="33">
        <v>89.80562</v>
      </c>
      <c r="Y44" s="34">
        <f t="shared" si="11"/>
        <v>0</v>
      </c>
      <c r="Z44" s="33">
        <v>82.67586</v>
      </c>
      <c r="AA44" s="34">
        <f t="shared" si="12"/>
        <v>4.963085587</v>
      </c>
      <c r="AB44" s="33">
        <v>87.70757</v>
      </c>
      <c r="AC44" s="34">
        <f t="shared" si="13"/>
        <v>1.290364093</v>
      </c>
      <c r="AD44" s="33">
        <v>96.60225</v>
      </c>
      <c r="AE44" s="34">
        <f t="shared" si="14"/>
        <v>0</v>
      </c>
      <c r="AF44" s="33">
        <v>97.733</v>
      </c>
      <c r="AG44" s="34">
        <f t="shared" si="15"/>
        <v>0</v>
      </c>
      <c r="AH44" s="33">
        <v>86.52476</v>
      </c>
      <c r="AI44" s="34">
        <f t="shared" si="16"/>
        <v>0</v>
      </c>
      <c r="AJ44" s="33">
        <v>81.69809</v>
      </c>
      <c r="AK44" s="34">
        <f t="shared" si="17"/>
        <v>10.20943448</v>
      </c>
      <c r="AL44" s="33">
        <v>92.36518</v>
      </c>
      <c r="AM44" s="34">
        <f t="shared" si="18"/>
        <v>0</v>
      </c>
    </row>
    <row r="45">
      <c r="A45" s="32">
        <v>45873.0</v>
      </c>
      <c r="B45" s="33">
        <v>88.94701</v>
      </c>
      <c r="C45" s="34">
        <f t="shared" si="19"/>
        <v>17.14121327</v>
      </c>
      <c r="D45" s="33">
        <v>86.69319</v>
      </c>
      <c r="E45" s="34">
        <f t="shared" si="1"/>
        <v>0</v>
      </c>
      <c r="F45" s="33">
        <v>93.95675</v>
      </c>
      <c r="G45" s="34">
        <f t="shared" si="2"/>
        <v>0</v>
      </c>
      <c r="H45" s="33">
        <v>88.26071</v>
      </c>
      <c r="I45" s="34">
        <f t="shared" si="3"/>
        <v>41.71841916</v>
      </c>
      <c r="J45" s="33">
        <v>89.29635</v>
      </c>
      <c r="K45" s="34">
        <f t="shared" si="4"/>
        <v>0.7822612585</v>
      </c>
      <c r="L45" s="33">
        <v>96.06883</v>
      </c>
      <c r="M45" s="34">
        <f t="shared" si="5"/>
        <v>0</v>
      </c>
      <c r="N45" s="33">
        <v>88.19149</v>
      </c>
      <c r="O45" s="34">
        <f t="shared" si="6"/>
        <v>0.04334615666</v>
      </c>
      <c r="P45" s="33">
        <v>93.5355</v>
      </c>
      <c r="Q45" s="34">
        <f t="shared" si="7"/>
        <v>0</v>
      </c>
      <c r="R45" s="33">
        <v>88.83796</v>
      </c>
      <c r="S45" s="34">
        <f t="shared" si="8"/>
        <v>16.66833418</v>
      </c>
      <c r="T45" s="33">
        <v>97.70247</v>
      </c>
      <c r="U45" s="34">
        <f t="shared" si="9"/>
        <v>0</v>
      </c>
      <c r="V45" s="33">
        <v>94.04685</v>
      </c>
      <c r="W45" s="34">
        <f t="shared" si="10"/>
        <v>49.20648425</v>
      </c>
      <c r="X45" s="33">
        <v>91.68444</v>
      </c>
      <c r="Y45" s="34">
        <f t="shared" si="11"/>
        <v>0</v>
      </c>
      <c r="Z45" s="33">
        <v>88.20895</v>
      </c>
      <c r="AA45" s="34">
        <f t="shared" si="12"/>
        <v>1.619014484</v>
      </c>
      <c r="AB45" s="33">
        <v>90.48831</v>
      </c>
      <c r="AC45" s="34">
        <f t="shared" si="13"/>
        <v>0</v>
      </c>
      <c r="AD45" s="33">
        <v>96.8548</v>
      </c>
      <c r="AE45" s="34">
        <f t="shared" si="14"/>
        <v>0</v>
      </c>
      <c r="AF45" s="33">
        <v>92.66013</v>
      </c>
      <c r="AG45" s="34">
        <f t="shared" si="15"/>
        <v>0</v>
      </c>
      <c r="AH45" s="33">
        <v>84.48675</v>
      </c>
      <c r="AI45" s="34">
        <f t="shared" si="16"/>
        <v>0</v>
      </c>
      <c r="AJ45" s="33">
        <v>83.70594</v>
      </c>
      <c r="AK45" s="34">
        <f t="shared" si="17"/>
        <v>11.9530431</v>
      </c>
      <c r="AL45" s="33">
        <v>91.28613</v>
      </c>
      <c r="AM45" s="34">
        <f t="shared" si="18"/>
        <v>0</v>
      </c>
    </row>
    <row r="46">
      <c r="A46" s="32">
        <v>45874.0</v>
      </c>
      <c r="B46" s="33">
        <v>87.85573</v>
      </c>
      <c r="C46" s="34">
        <f t="shared" si="19"/>
        <v>13.3444477</v>
      </c>
      <c r="D46" s="33">
        <v>85.12797</v>
      </c>
      <c r="E46" s="34">
        <f t="shared" si="1"/>
        <v>0</v>
      </c>
      <c r="F46" s="33">
        <v>90.7516</v>
      </c>
      <c r="G46" s="34">
        <f t="shared" si="2"/>
        <v>0</v>
      </c>
      <c r="H46" s="33">
        <v>89.26224</v>
      </c>
      <c r="I46" s="34">
        <f t="shared" si="3"/>
        <v>41.01628363</v>
      </c>
      <c r="J46" s="33">
        <v>88.71435</v>
      </c>
      <c r="K46" s="34">
        <f t="shared" si="4"/>
        <v>0</v>
      </c>
      <c r="L46" s="33">
        <v>94.8619</v>
      </c>
      <c r="M46" s="34">
        <f t="shared" si="5"/>
        <v>0</v>
      </c>
      <c r="N46" s="33">
        <v>86.92155</v>
      </c>
      <c r="O46" s="34">
        <f t="shared" si="6"/>
        <v>0</v>
      </c>
      <c r="P46" s="33">
        <v>95.37488</v>
      </c>
      <c r="Q46" s="34">
        <f t="shared" si="7"/>
        <v>0</v>
      </c>
      <c r="R46" s="33">
        <v>93.1814</v>
      </c>
      <c r="S46" s="34">
        <f t="shared" si="8"/>
        <v>8.266869019</v>
      </c>
      <c r="T46" s="33">
        <v>99.25823</v>
      </c>
      <c r="U46" s="34">
        <f t="shared" si="9"/>
        <v>0</v>
      </c>
      <c r="V46" s="33">
        <v>96.60513</v>
      </c>
      <c r="W46" s="34">
        <f t="shared" si="10"/>
        <v>40.23278551</v>
      </c>
      <c r="X46" s="33">
        <v>91.08451</v>
      </c>
      <c r="Y46" s="34">
        <f t="shared" si="11"/>
        <v>0</v>
      </c>
      <c r="Z46" s="33">
        <v>90.90641</v>
      </c>
      <c r="AA46" s="34">
        <f t="shared" si="12"/>
        <v>0</v>
      </c>
      <c r="AB46" s="33">
        <v>93.09091</v>
      </c>
      <c r="AC46" s="34">
        <f t="shared" si="13"/>
        <v>0</v>
      </c>
      <c r="AD46" s="33">
        <v>87.66344</v>
      </c>
      <c r="AE46" s="34">
        <f t="shared" si="14"/>
        <v>3.212021291</v>
      </c>
      <c r="AF46" s="33">
        <v>91.83978</v>
      </c>
      <c r="AG46" s="34">
        <f t="shared" si="15"/>
        <v>0</v>
      </c>
      <c r="AH46" s="33">
        <v>91.86173</v>
      </c>
      <c r="AI46" s="34">
        <f t="shared" si="16"/>
        <v>0</v>
      </c>
      <c r="AJ46" s="33">
        <v>89.61174</v>
      </c>
      <c r="AK46" s="34">
        <f t="shared" si="17"/>
        <v>7.790851723</v>
      </c>
      <c r="AL46" s="33">
        <v>95.34594</v>
      </c>
      <c r="AM46" s="34">
        <f t="shared" si="18"/>
        <v>0</v>
      </c>
    </row>
    <row r="47">
      <c r="A47" s="32">
        <v>45875.0</v>
      </c>
      <c r="B47" s="33">
        <v>83.8004</v>
      </c>
      <c r="C47" s="34">
        <f t="shared" si="19"/>
        <v>8.649112122</v>
      </c>
      <c r="D47" s="33">
        <v>84.20969</v>
      </c>
      <c r="E47" s="34">
        <f t="shared" si="1"/>
        <v>0</v>
      </c>
      <c r="F47" s="33">
        <v>86.75951</v>
      </c>
      <c r="G47" s="34">
        <f t="shared" si="2"/>
        <v>0.1000442854</v>
      </c>
      <c r="H47" s="33">
        <v>87.52366</v>
      </c>
      <c r="I47" s="34">
        <f t="shared" si="3"/>
        <v>42.0527281</v>
      </c>
      <c r="J47" s="33">
        <v>85.72296</v>
      </c>
      <c r="K47" s="34">
        <f t="shared" si="4"/>
        <v>0</v>
      </c>
      <c r="L47" s="33">
        <v>90.89831</v>
      </c>
      <c r="M47" s="34">
        <f t="shared" si="5"/>
        <v>0</v>
      </c>
      <c r="N47" s="33">
        <v>83.94393</v>
      </c>
      <c r="O47" s="34">
        <f t="shared" si="6"/>
        <v>0</v>
      </c>
      <c r="P47" s="33">
        <v>90.98249</v>
      </c>
      <c r="Q47" s="34">
        <f t="shared" si="7"/>
        <v>0</v>
      </c>
      <c r="R47" s="33">
        <v>88.57646</v>
      </c>
      <c r="S47" s="34">
        <f t="shared" si="8"/>
        <v>4.470343855</v>
      </c>
      <c r="T47" s="33">
        <v>96.47628</v>
      </c>
      <c r="U47" s="34">
        <f t="shared" si="9"/>
        <v>0</v>
      </c>
      <c r="V47" s="33">
        <v>94.68378</v>
      </c>
      <c r="W47" s="34">
        <f t="shared" si="10"/>
        <v>33.18043677</v>
      </c>
      <c r="X47" s="33">
        <v>90.99881</v>
      </c>
      <c r="Y47" s="34">
        <f t="shared" si="11"/>
        <v>0</v>
      </c>
      <c r="Z47" s="33">
        <v>91.38014</v>
      </c>
      <c r="AA47" s="34">
        <f t="shared" si="12"/>
        <v>0</v>
      </c>
      <c r="AB47" s="33">
        <v>92.04598</v>
      </c>
      <c r="AC47" s="34">
        <f t="shared" si="13"/>
        <v>0</v>
      </c>
      <c r="AD47" s="33">
        <v>92.41087</v>
      </c>
      <c r="AE47" s="34">
        <f t="shared" si="14"/>
        <v>1.676612583</v>
      </c>
      <c r="AF47" s="33">
        <v>88.21934</v>
      </c>
      <c r="AG47" s="34">
        <f t="shared" si="15"/>
        <v>0</v>
      </c>
      <c r="AH47" s="33">
        <v>86.82428</v>
      </c>
      <c r="AI47" s="34">
        <f t="shared" si="16"/>
        <v>0</v>
      </c>
      <c r="AJ47" s="33">
        <v>87.78952</v>
      </c>
      <c r="AK47" s="34">
        <f t="shared" si="17"/>
        <v>5.450880344</v>
      </c>
      <c r="AL47" s="33">
        <v>94.72063</v>
      </c>
      <c r="AM47" s="34">
        <f t="shared" si="18"/>
        <v>0</v>
      </c>
    </row>
    <row r="48">
      <c r="A48" s="32">
        <v>45876.0</v>
      </c>
      <c r="B48" s="33">
        <v>83.74912</v>
      </c>
      <c r="C48" s="34">
        <f t="shared" si="19"/>
        <v>5.045056547</v>
      </c>
      <c r="D48" s="33">
        <v>87.20402</v>
      </c>
      <c r="E48" s="34">
        <f t="shared" si="1"/>
        <v>0.6182506488</v>
      </c>
      <c r="F48" s="33">
        <v>90.07838</v>
      </c>
      <c r="G48" s="34">
        <f t="shared" si="2"/>
        <v>0</v>
      </c>
      <c r="H48" s="33">
        <v>88.31242</v>
      </c>
      <c r="I48" s="34">
        <f t="shared" si="3"/>
        <v>42.30041257</v>
      </c>
      <c r="J48" s="33">
        <v>82.90762</v>
      </c>
      <c r="K48" s="34">
        <f t="shared" si="4"/>
        <v>1.991406252</v>
      </c>
      <c r="L48" s="33">
        <v>94.2753</v>
      </c>
      <c r="M48" s="34">
        <f t="shared" si="5"/>
        <v>0</v>
      </c>
      <c r="N48" s="33">
        <v>79.16941</v>
      </c>
      <c r="O48" s="34">
        <f t="shared" si="6"/>
        <v>4.341707231</v>
      </c>
      <c r="P48" s="33">
        <v>84.31181</v>
      </c>
      <c r="Q48" s="34">
        <f t="shared" si="7"/>
        <v>0.09560976103</v>
      </c>
      <c r="R48" s="33">
        <v>85.59579</v>
      </c>
      <c r="S48" s="34">
        <f t="shared" si="8"/>
        <v>3.654488691</v>
      </c>
      <c r="T48" s="33">
        <v>89.61712</v>
      </c>
      <c r="U48" s="34">
        <f t="shared" si="9"/>
        <v>0</v>
      </c>
      <c r="V48" s="33">
        <v>98.10587</v>
      </c>
      <c r="W48" s="34">
        <f t="shared" si="10"/>
        <v>22.70599804</v>
      </c>
      <c r="X48" s="33">
        <v>93.48794</v>
      </c>
      <c r="Y48" s="34">
        <f t="shared" si="11"/>
        <v>0</v>
      </c>
      <c r="Z48" s="33">
        <v>88.93767</v>
      </c>
      <c r="AA48" s="34">
        <f t="shared" si="12"/>
        <v>0</v>
      </c>
      <c r="AB48" s="33">
        <v>92.74838</v>
      </c>
      <c r="AC48" s="34">
        <f t="shared" si="13"/>
        <v>0</v>
      </c>
      <c r="AD48" s="33">
        <v>92.29977</v>
      </c>
      <c r="AE48" s="34">
        <f t="shared" si="14"/>
        <v>0.2523038743</v>
      </c>
      <c r="AF48" s="33">
        <v>86.27519</v>
      </c>
      <c r="AG48" s="34">
        <f t="shared" si="15"/>
        <v>1.841916062</v>
      </c>
      <c r="AH48" s="33">
        <v>87.11265</v>
      </c>
      <c r="AI48" s="34">
        <f t="shared" si="16"/>
        <v>0</v>
      </c>
      <c r="AJ48" s="33">
        <v>89.59944</v>
      </c>
      <c r="AK48" s="34">
        <f t="shared" si="17"/>
        <v>1.300988965</v>
      </c>
      <c r="AL48" s="33">
        <v>89.55644</v>
      </c>
      <c r="AM48" s="34">
        <f t="shared" si="18"/>
        <v>0</v>
      </c>
    </row>
    <row r="49">
      <c r="A49" s="32">
        <v>45877.0</v>
      </c>
      <c r="B49" s="33">
        <v>79.87808</v>
      </c>
      <c r="C49" s="34">
        <f t="shared" si="19"/>
        <v>5.496330971</v>
      </c>
      <c r="D49" s="33">
        <v>84.32708</v>
      </c>
      <c r="E49" s="34">
        <f t="shared" si="1"/>
        <v>0</v>
      </c>
      <c r="F49" s="33">
        <v>87.9195</v>
      </c>
      <c r="G49" s="34">
        <f t="shared" si="2"/>
        <v>0</v>
      </c>
      <c r="H49" s="33">
        <v>86.45601</v>
      </c>
      <c r="I49" s="34">
        <f t="shared" si="3"/>
        <v>44.40450704</v>
      </c>
      <c r="J49" s="33">
        <v>81.71194</v>
      </c>
      <c r="K49" s="34">
        <f t="shared" si="4"/>
        <v>5.178492503</v>
      </c>
      <c r="L49" s="33">
        <v>86.9027</v>
      </c>
      <c r="M49" s="34">
        <f t="shared" si="5"/>
        <v>0.2477772738</v>
      </c>
      <c r="N49" s="33">
        <v>81.36085</v>
      </c>
      <c r="O49" s="34">
        <f t="shared" si="6"/>
        <v>6.491974463</v>
      </c>
      <c r="P49" s="33">
        <v>80.65654</v>
      </c>
      <c r="Q49" s="34">
        <f t="shared" si="7"/>
        <v>3.846489522</v>
      </c>
      <c r="R49" s="33">
        <v>81.41652</v>
      </c>
      <c r="S49" s="34">
        <f t="shared" si="8"/>
        <v>7.017903528</v>
      </c>
      <c r="T49" s="33">
        <v>95.32614</v>
      </c>
      <c r="U49" s="34">
        <f t="shared" si="9"/>
        <v>0</v>
      </c>
      <c r="V49" s="33">
        <v>97.44359</v>
      </c>
      <c r="W49" s="34">
        <f t="shared" si="10"/>
        <v>12.8938393</v>
      </c>
      <c r="X49" s="33">
        <v>91.1537</v>
      </c>
      <c r="Y49" s="34">
        <f t="shared" si="11"/>
        <v>0</v>
      </c>
      <c r="Z49" s="33">
        <v>89.91974</v>
      </c>
      <c r="AA49" s="34">
        <f t="shared" si="12"/>
        <v>0</v>
      </c>
      <c r="AB49" s="33">
        <v>91.21513</v>
      </c>
      <c r="AC49" s="34">
        <f t="shared" si="13"/>
        <v>0</v>
      </c>
      <c r="AD49" s="33">
        <v>93.13344</v>
      </c>
      <c r="AE49" s="34">
        <f t="shared" si="14"/>
        <v>0</v>
      </c>
      <c r="AF49" s="33">
        <v>85.17715</v>
      </c>
      <c r="AG49" s="34">
        <f t="shared" si="15"/>
        <v>4.781872123</v>
      </c>
      <c r="AH49" s="33">
        <v>88.70982</v>
      </c>
      <c r="AI49" s="34">
        <f t="shared" si="16"/>
        <v>0</v>
      </c>
      <c r="AJ49" s="33">
        <v>94.5287</v>
      </c>
      <c r="AK49" s="34">
        <f t="shared" si="17"/>
        <v>0</v>
      </c>
      <c r="AL49" s="33">
        <v>87.78396</v>
      </c>
      <c r="AM49" s="34">
        <f t="shared" si="18"/>
        <v>0</v>
      </c>
    </row>
    <row r="50">
      <c r="A50" s="32">
        <v>45878.0</v>
      </c>
      <c r="B50" s="33">
        <v>72.87301</v>
      </c>
      <c r="C50" s="34">
        <f t="shared" si="19"/>
        <v>5.998885396</v>
      </c>
      <c r="D50" s="33">
        <v>78.34839</v>
      </c>
      <c r="E50" s="34">
        <f t="shared" si="1"/>
        <v>0.5008606488</v>
      </c>
      <c r="F50" s="33">
        <v>84.61246</v>
      </c>
      <c r="G50" s="34">
        <f t="shared" si="2"/>
        <v>2.247094285</v>
      </c>
      <c r="H50" s="33">
        <v>83.0711</v>
      </c>
      <c r="I50" s="34">
        <f t="shared" si="3"/>
        <v>49.89351151</v>
      </c>
      <c r="J50" s="33">
        <v>81.25565</v>
      </c>
      <c r="K50" s="34">
        <f t="shared" si="4"/>
        <v>8.821868755</v>
      </c>
      <c r="L50" s="33">
        <v>82.23879</v>
      </c>
      <c r="M50" s="34">
        <f t="shared" si="5"/>
        <v>5.159464548</v>
      </c>
      <c r="N50" s="33">
        <v>79.15317</v>
      </c>
      <c r="O50" s="34">
        <f t="shared" si="6"/>
        <v>10.84992169</v>
      </c>
      <c r="P50" s="33">
        <v>78.4834</v>
      </c>
      <c r="Q50" s="34">
        <f t="shared" si="7"/>
        <v>9.770509283</v>
      </c>
      <c r="R50" s="33">
        <v>79.62473</v>
      </c>
      <c r="S50" s="34">
        <f t="shared" si="8"/>
        <v>12.17310836</v>
      </c>
      <c r="T50" s="33">
        <v>94.60886</v>
      </c>
      <c r="U50" s="34">
        <f t="shared" si="9"/>
        <v>0</v>
      </c>
      <c r="V50" s="33">
        <v>97.91092</v>
      </c>
      <c r="W50" s="34">
        <f t="shared" si="10"/>
        <v>2.614350566</v>
      </c>
      <c r="X50" s="33">
        <v>87.06052</v>
      </c>
      <c r="Y50" s="34">
        <f t="shared" si="11"/>
        <v>0</v>
      </c>
      <c r="Z50" s="33">
        <v>91.2637</v>
      </c>
      <c r="AA50" s="34">
        <f t="shared" si="12"/>
        <v>0</v>
      </c>
      <c r="AB50" s="33">
        <v>92.29098</v>
      </c>
      <c r="AC50" s="34">
        <f t="shared" si="13"/>
        <v>0</v>
      </c>
      <c r="AD50" s="33">
        <v>93.58617</v>
      </c>
      <c r="AE50" s="34">
        <f t="shared" si="14"/>
        <v>0</v>
      </c>
      <c r="AF50" s="33">
        <v>88.83617</v>
      </c>
      <c r="AG50" s="34">
        <f t="shared" si="15"/>
        <v>4.062808185</v>
      </c>
      <c r="AH50" s="33">
        <v>82.46201</v>
      </c>
      <c r="AI50" s="34">
        <f t="shared" si="16"/>
        <v>0</v>
      </c>
      <c r="AJ50" s="33">
        <v>91.65542</v>
      </c>
      <c r="AK50" s="34">
        <f t="shared" si="17"/>
        <v>0</v>
      </c>
      <c r="AL50" s="33">
        <v>91.0882</v>
      </c>
      <c r="AM50" s="34">
        <f t="shared" si="18"/>
        <v>0</v>
      </c>
    </row>
    <row r="51">
      <c r="A51" s="32">
        <v>45879.0</v>
      </c>
      <c r="B51" s="33">
        <v>79.8713</v>
      </c>
      <c r="C51" s="34">
        <f t="shared" si="19"/>
        <v>10.37247982</v>
      </c>
      <c r="D51" s="33">
        <v>87.67703</v>
      </c>
      <c r="E51" s="34">
        <f t="shared" si="1"/>
        <v>6.980411298</v>
      </c>
      <c r="F51" s="33">
        <v>94.83304</v>
      </c>
      <c r="G51" s="34">
        <f t="shared" si="2"/>
        <v>0</v>
      </c>
      <c r="H51" s="33">
        <v>95.23973</v>
      </c>
      <c r="I51" s="34">
        <f t="shared" si="3"/>
        <v>43.21388597</v>
      </c>
      <c r="J51" s="33">
        <v>85.88611</v>
      </c>
      <c r="K51" s="34">
        <f t="shared" si="4"/>
        <v>7.834785007</v>
      </c>
      <c r="L51" s="33">
        <v>84.78945</v>
      </c>
      <c r="M51" s="34">
        <f t="shared" si="5"/>
        <v>7.520491821</v>
      </c>
      <c r="N51" s="33">
        <v>83.627</v>
      </c>
      <c r="O51" s="34">
        <f t="shared" si="6"/>
        <v>10.73403893</v>
      </c>
      <c r="P51" s="33">
        <v>81.34221</v>
      </c>
      <c r="Q51" s="34">
        <f t="shared" si="7"/>
        <v>12.83571904</v>
      </c>
      <c r="R51" s="33">
        <v>79.87876</v>
      </c>
      <c r="S51" s="34">
        <f t="shared" si="8"/>
        <v>17.0742832</v>
      </c>
      <c r="T51" s="33">
        <v>91.09073</v>
      </c>
      <c r="U51" s="34">
        <f t="shared" si="9"/>
        <v>0</v>
      </c>
      <c r="V51" s="33">
        <v>98.45523</v>
      </c>
      <c r="W51" s="34">
        <f t="shared" si="10"/>
        <v>0</v>
      </c>
      <c r="X51" s="33">
        <v>82.76323</v>
      </c>
      <c r="Y51" s="34">
        <f t="shared" si="11"/>
        <v>2.713299192</v>
      </c>
      <c r="Z51" s="33">
        <v>90.38639</v>
      </c>
      <c r="AA51" s="34">
        <f t="shared" si="12"/>
        <v>0</v>
      </c>
      <c r="AB51" s="33">
        <v>91.58142</v>
      </c>
      <c r="AC51" s="34">
        <f t="shared" si="13"/>
        <v>0</v>
      </c>
      <c r="AD51" s="33">
        <v>90.18749</v>
      </c>
      <c r="AE51" s="34">
        <f t="shared" si="14"/>
        <v>0.6879712914</v>
      </c>
      <c r="AF51" s="33">
        <v>88.16117</v>
      </c>
      <c r="AG51" s="34">
        <f t="shared" si="15"/>
        <v>4.018744247</v>
      </c>
      <c r="AH51" s="33">
        <v>86.59296</v>
      </c>
      <c r="AI51" s="34">
        <f t="shared" si="16"/>
        <v>0</v>
      </c>
      <c r="AJ51" s="33">
        <v>89.04591</v>
      </c>
      <c r="AK51" s="34">
        <f t="shared" si="17"/>
        <v>0</v>
      </c>
      <c r="AL51" s="33">
        <v>91.41521</v>
      </c>
      <c r="AM51" s="34">
        <f t="shared" si="18"/>
        <v>0</v>
      </c>
    </row>
    <row r="52">
      <c r="A52" s="32">
        <v>45880.0</v>
      </c>
      <c r="B52" s="33">
        <v>85.84632</v>
      </c>
      <c r="C52" s="34">
        <f t="shared" si="19"/>
        <v>21.75114424</v>
      </c>
      <c r="D52" s="33">
        <v>93.12471</v>
      </c>
      <c r="E52" s="34">
        <f t="shared" si="1"/>
        <v>4.131321946</v>
      </c>
      <c r="F52" s="33">
        <v>96.59145</v>
      </c>
      <c r="G52" s="34">
        <f t="shared" si="2"/>
        <v>0</v>
      </c>
      <c r="H52" s="33">
        <v>100.93284</v>
      </c>
      <c r="I52" s="34">
        <f t="shared" si="3"/>
        <v>30.84115044</v>
      </c>
      <c r="J52" s="33">
        <v>90.65885</v>
      </c>
      <c r="K52" s="34">
        <f t="shared" si="4"/>
        <v>2.074961258</v>
      </c>
      <c r="L52" s="33">
        <v>88.85288</v>
      </c>
      <c r="M52" s="34">
        <f t="shared" si="5"/>
        <v>5.818089095</v>
      </c>
      <c r="N52" s="33">
        <v>87.14907</v>
      </c>
      <c r="O52" s="34">
        <f t="shared" si="6"/>
        <v>7.096086157</v>
      </c>
      <c r="P52" s="33">
        <v>77.06074</v>
      </c>
      <c r="Q52" s="34">
        <f t="shared" si="7"/>
        <v>20.18239881</v>
      </c>
      <c r="R52" s="33">
        <v>84.2423</v>
      </c>
      <c r="S52" s="34">
        <f t="shared" si="8"/>
        <v>17.61191804</v>
      </c>
      <c r="T52" s="33">
        <v>96.55928</v>
      </c>
      <c r="U52" s="34">
        <f t="shared" si="9"/>
        <v>0</v>
      </c>
      <c r="V52" s="33">
        <v>100.83058</v>
      </c>
      <c r="W52" s="34">
        <f t="shared" si="10"/>
        <v>0</v>
      </c>
      <c r="X52" s="33">
        <v>82.4745</v>
      </c>
      <c r="Y52" s="34">
        <f t="shared" si="11"/>
        <v>5.715328384</v>
      </c>
      <c r="Z52" s="33">
        <v>91.04323</v>
      </c>
      <c r="AA52" s="34">
        <f t="shared" si="12"/>
        <v>0</v>
      </c>
      <c r="AB52" s="33">
        <v>92.39378</v>
      </c>
      <c r="AC52" s="34">
        <f t="shared" si="13"/>
        <v>0</v>
      </c>
      <c r="AD52" s="33">
        <v>92.62212</v>
      </c>
      <c r="AE52" s="34">
        <f t="shared" si="14"/>
        <v>0</v>
      </c>
      <c r="AF52" s="33">
        <v>85.91948</v>
      </c>
      <c r="AG52" s="34">
        <f t="shared" si="15"/>
        <v>6.216370309</v>
      </c>
      <c r="AH52" s="33">
        <v>87.42232</v>
      </c>
      <c r="AI52" s="34">
        <f t="shared" si="16"/>
        <v>0</v>
      </c>
      <c r="AJ52" s="33">
        <v>85.43384</v>
      </c>
      <c r="AK52" s="34">
        <f t="shared" si="17"/>
        <v>0.01570862057</v>
      </c>
      <c r="AL52" s="33">
        <v>91.655</v>
      </c>
      <c r="AM52" s="34">
        <f t="shared" si="18"/>
        <v>0</v>
      </c>
    </row>
    <row r="53">
      <c r="A53" s="32">
        <v>45881.0</v>
      </c>
      <c r="B53" s="33">
        <v>87.86225</v>
      </c>
      <c r="C53" s="34">
        <f t="shared" si="19"/>
        <v>26.13151867</v>
      </c>
      <c r="D53" s="33">
        <v>91.64792</v>
      </c>
      <c r="E53" s="34">
        <f t="shared" si="1"/>
        <v>0</v>
      </c>
      <c r="F53" s="33">
        <v>97.57708</v>
      </c>
      <c r="G53" s="34">
        <f t="shared" si="2"/>
        <v>0</v>
      </c>
      <c r="H53" s="33">
        <v>94.63593</v>
      </c>
      <c r="I53" s="34">
        <f t="shared" si="3"/>
        <v>24.76532491</v>
      </c>
      <c r="J53" s="33">
        <v>90.504</v>
      </c>
      <c r="K53" s="34">
        <f t="shared" si="4"/>
        <v>0</v>
      </c>
      <c r="L53" s="33">
        <v>91.90786</v>
      </c>
      <c r="M53" s="34">
        <f t="shared" si="5"/>
        <v>1.060706369</v>
      </c>
      <c r="N53" s="33">
        <v>87.80165</v>
      </c>
      <c r="O53" s="34">
        <f t="shared" si="6"/>
        <v>2.805553388</v>
      </c>
      <c r="P53" s="33">
        <v>82.2867</v>
      </c>
      <c r="Q53" s="34">
        <f t="shared" si="7"/>
        <v>22.30311857</v>
      </c>
      <c r="R53" s="33">
        <v>86.49586</v>
      </c>
      <c r="S53" s="34">
        <f t="shared" si="8"/>
        <v>15.89599287</v>
      </c>
      <c r="T53" s="33">
        <v>91.06615</v>
      </c>
      <c r="U53" s="34">
        <f t="shared" si="9"/>
        <v>0</v>
      </c>
      <c r="V53" s="33">
        <v>100.7628</v>
      </c>
      <c r="W53" s="34">
        <f t="shared" si="10"/>
        <v>0</v>
      </c>
      <c r="X53" s="33">
        <v>84.50512</v>
      </c>
      <c r="Y53" s="34">
        <f t="shared" si="11"/>
        <v>6.686737576</v>
      </c>
      <c r="Z53" s="33">
        <v>90.1244</v>
      </c>
      <c r="AA53" s="34">
        <f t="shared" si="12"/>
        <v>0</v>
      </c>
      <c r="AB53" s="33">
        <v>88.8708</v>
      </c>
      <c r="AC53" s="34">
        <f t="shared" si="13"/>
        <v>0.1271340925</v>
      </c>
      <c r="AD53" s="33">
        <v>89.03319</v>
      </c>
      <c r="AE53" s="34">
        <f t="shared" si="14"/>
        <v>1.842271291</v>
      </c>
      <c r="AF53" s="33">
        <v>81.78366</v>
      </c>
      <c r="AG53" s="34">
        <f t="shared" si="15"/>
        <v>12.54981637</v>
      </c>
      <c r="AH53" s="33">
        <v>87.1095</v>
      </c>
      <c r="AI53" s="34">
        <f t="shared" si="16"/>
        <v>0</v>
      </c>
      <c r="AJ53" s="33">
        <v>81.87434</v>
      </c>
      <c r="AK53" s="34">
        <f t="shared" si="17"/>
        <v>3.590917241</v>
      </c>
      <c r="AL53" s="33">
        <v>91.08408</v>
      </c>
      <c r="AM53" s="34">
        <f t="shared" si="18"/>
        <v>0</v>
      </c>
    </row>
    <row r="54">
      <c r="A54" s="32">
        <v>45882.0</v>
      </c>
      <c r="B54" s="33">
        <v>87.89204</v>
      </c>
      <c r="C54" s="34">
        <f t="shared" si="19"/>
        <v>24.53687309</v>
      </c>
      <c r="D54" s="33">
        <v>86.52459</v>
      </c>
      <c r="E54" s="34">
        <f t="shared" si="1"/>
        <v>0</v>
      </c>
      <c r="F54" s="33">
        <v>99.29759</v>
      </c>
      <c r="G54" s="34">
        <f t="shared" si="2"/>
        <v>0</v>
      </c>
      <c r="H54" s="33">
        <v>91.77504</v>
      </c>
      <c r="I54" s="34">
        <f t="shared" si="3"/>
        <v>21.55038938</v>
      </c>
      <c r="J54" s="33">
        <v>88.99724</v>
      </c>
      <c r="K54" s="34">
        <f t="shared" si="4"/>
        <v>0</v>
      </c>
      <c r="L54" s="33">
        <v>92.0386</v>
      </c>
      <c r="M54" s="34">
        <f t="shared" si="5"/>
        <v>0</v>
      </c>
      <c r="N54" s="33">
        <v>84.00855</v>
      </c>
      <c r="O54" s="34">
        <f t="shared" si="6"/>
        <v>2.308120619</v>
      </c>
      <c r="P54" s="33">
        <v>83.55215</v>
      </c>
      <c r="Q54" s="34">
        <f t="shared" si="7"/>
        <v>23.15838833</v>
      </c>
      <c r="R54" s="33">
        <v>89.36399</v>
      </c>
      <c r="S54" s="34">
        <f t="shared" si="8"/>
        <v>11.31193771</v>
      </c>
      <c r="T54" s="33">
        <v>87.23786</v>
      </c>
      <c r="U54" s="34">
        <f t="shared" si="9"/>
        <v>0.2649089682</v>
      </c>
      <c r="V54" s="33">
        <v>94.66621</v>
      </c>
      <c r="W54" s="34">
        <f t="shared" si="10"/>
        <v>0</v>
      </c>
      <c r="X54" s="33">
        <v>86.6151</v>
      </c>
      <c r="Y54" s="34">
        <f t="shared" si="11"/>
        <v>5.548166768</v>
      </c>
      <c r="Z54" s="33">
        <v>91.37816</v>
      </c>
      <c r="AA54" s="34">
        <f t="shared" si="12"/>
        <v>0</v>
      </c>
      <c r="AB54" s="33">
        <v>97.4844</v>
      </c>
      <c r="AC54" s="34">
        <f t="shared" si="13"/>
        <v>0</v>
      </c>
      <c r="AD54" s="33">
        <v>95.9271</v>
      </c>
      <c r="AE54" s="34">
        <f t="shared" si="14"/>
        <v>0</v>
      </c>
      <c r="AF54" s="33">
        <v>87.38259</v>
      </c>
      <c r="AG54" s="34">
        <f t="shared" si="15"/>
        <v>13.28433243</v>
      </c>
      <c r="AH54" s="33">
        <v>89.95947</v>
      </c>
      <c r="AI54" s="34">
        <f t="shared" si="16"/>
        <v>0</v>
      </c>
      <c r="AJ54" s="33">
        <v>86.04764</v>
      </c>
      <c r="AK54" s="34">
        <f t="shared" si="17"/>
        <v>2.992825862</v>
      </c>
      <c r="AL54" s="33">
        <v>88.76042</v>
      </c>
      <c r="AM54" s="34">
        <f t="shared" si="18"/>
        <v>0</v>
      </c>
    </row>
    <row r="55">
      <c r="A55" s="32">
        <v>45883.0</v>
      </c>
      <c r="B55" s="33">
        <v>87.04848</v>
      </c>
      <c r="C55" s="34">
        <f t="shared" si="19"/>
        <v>20.92629752</v>
      </c>
      <c r="D55" s="33">
        <v>85.22974</v>
      </c>
      <c r="E55" s="34">
        <f t="shared" si="1"/>
        <v>0</v>
      </c>
      <c r="F55" s="33">
        <v>95.83427</v>
      </c>
      <c r="G55" s="34">
        <f t="shared" si="2"/>
        <v>0</v>
      </c>
      <c r="H55" s="33">
        <v>88.94129</v>
      </c>
      <c r="I55" s="34">
        <f t="shared" si="3"/>
        <v>21.16920385</v>
      </c>
      <c r="J55" s="33">
        <v>83.3114</v>
      </c>
      <c r="K55" s="34">
        <f t="shared" si="4"/>
        <v>1.587626252</v>
      </c>
      <c r="L55" s="33">
        <v>93.42758</v>
      </c>
      <c r="M55" s="34">
        <f t="shared" si="5"/>
        <v>0</v>
      </c>
      <c r="N55" s="33">
        <v>87.34395</v>
      </c>
      <c r="O55" s="34">
        <f t="shared" si="6"/>
        <v>0</v>
      </c>
      <c r="P55" s="33">
        <v>80.29585</v>
      </c>
      <c r="Q55" s="34">
        <f t="shared" si="7"/>
        <v>27.26995809</v>
      </c>
      <c r="R55" s="33">
        <v>89.9637</v>
      </c>
      <c r="S55" s="34">
        <f t="shared" si="8"/>
        <v>6.128172546</v>
      </c>
      <c r="T55" s="33">
        <v>86.65785</v>
      </c>
      <c r="U55" s="34">
        <f t="shared" si="9"/>
        <v>1.109827936</v>
      </c>
      <c r="V55" s="33">
        <v>103.12923</v>
      </c>
      <c r="W55" s="34">
        <f t="shared" si="10"/>
        <v>0</v>
      </c>
      <c r="X55" s="33">
        <v>85.83623</v>
      </c>
      <c r="Y55" s="34">
        <f t="shared" si="11"/>
        <v>5.18846596</v>
      </c>
      <c r="Z55" s="33">
        <v>94.20043</v>
      </c>
      <c r="AA55" s="34">
        <f t="shared" si="12"/>
        <v>0</v>
      </c>
      <c r="AB55" s="33">
        <v>99.63876</v>
      </c>
      <c r="AC55" s="34">
        <f t="shared" si="13"/>
        <v>0</v>
      </c>
      <c r="AD55" s="33">
        <v>96.51124</v>
      </c>
      <c r="AE55" s="34">
        <f t="shared" si="14"/>
        <v>0</v>
      </c>
      <c r="AF55" s="33">
        <v>90.63546</v>
      </c>
      <c r="AG55" s="34">
        <f t="shared" si="15"/>
        <v>10.76597849</v>
      </c>
      <c r="AH55" s="33">
        <v>88.86256</v>
      </c>
      <c r="AI55" s="34">
        <f t="shared" si="16"/>
        <v>0</v>
      </c>
      <c r="AJ55" s="33">
        <v>83.19305</v>
      </c>
      <c r="AK55" s="34">
        <f t="shared" si="17"/>
        <v>5.249324482</v>
      </c>
      <c r="AL55" s="33">
        <v>88.23411</v>
      </c>
      <c r="AM55" s="34">
        <f t="shared" si="18"/>
        <v>0</v>
      </c>
    </row>
    <row r="56">
      <c r="A56" s="32">
        <v>45884.0</v>
      </c>
      <c r="B56" s="33">
        <v>88.15841</v>
      </c>
      <c r="C56" s="34">
        <f t="shared" si="19"/>
        <v>17.28593194</v>
      </c>
      <c r="D56" s="33">
        <v>82.89126</v>
      </c>
      <c r="E56" s="34">
        <f t="shared" si="1"/>
        <v>0</v>
      </c>
      <c r="F56" s="33">
        <v>99.30341</v>
      </c>
      <c r="G56" s="34">
        <f t="shared" si="2"/>
        <v>0</v>
      </c>
      <c r="H56" s="33">
        <v>89.22404</v>
      </c>
      <c r="I56" s="34">
        <f t="shared" si="3"/>
        <v>20.50526832</v>
      </c>
      <c r="J56" s="33">
        <v>86.99271</v>
      </c>
      <c r="K56" s="34">
        <f t="shared" si="4"/>
        <v>0</v>
      </c>
      <c r="L56" s="33">
        <v>90.32869</v>
      </c>
      <c r="M56" s="34">
        <f t="shared" si="5"/>
        <v>0</v>
      </c>
      <c r="N56" s="33">
        <v>88.7112</v>
      </c>
      <c r="O56" s="34">
        <f t="shared" si="6"/>
        <v>0</v>
      </c>
      <c r="P56" s="33">
        <v>81.61712</v>
      </c>
      <c r="Q56" s="34">
        <f t="shared" si="7"/>
        <v>30.06025785</v>
      </c>
      <c r="R56" s="33">
        <v>89.90261</v>
      </c>
      <c r="S56" s="34">
        <f t="shared" si="8"/>
        <v>1.005497383</v>
      </c>
      <c r="T56" s="33">
        <v>87.23543</v>
      </c>
      <c r="U56" s="34">
        <f t="shared" si="9"/>
        <v>1.377166904</v>
      </c>
      <c r="V56" s="33">
        <v>100.41686</v>
      </c>
      <c r="W56" s="34">
        <f t="shared" si="10"/>
        <v>0</v>
      </c>
      <c r="X56" s="33">
        <v>85.84939</v>
      </c>
      <c r="Y56" s="34">
        <f t="shared" si="11"/>
        <v>4.815605152</v>
      </c>
      <c r="Z56" s="33">
        <v>93.28324</v>
      </c>
      <c r="AA56" s="34">
        <f t="shared" si="12"/>
        <v>0</v>
      </c>
      <c r="AB56" s="33">
        <v>94.65967</v>
      </c>
      <c r="AC56" s="34">
        <f t="shared" si="13"/>
        <v>0</v>
      </c>
      <c r="AD56" s="33">
        <v>98.17114</v>
      </c>
      <c r="AE56" s="34">
        <f t="shared" si="14"/>
        <v>0</v>
      </c>
      <c r="AF56" s="33">
        <v>90.5911</v>
      </c>
      <c r="AG56" s="34">
        <f t="shared" si="15"/>
        <v>8.291984556</v>
      </c>
      <c r="AH56" s="33">
        <v>86.05897</v>
      </c>
      <c r="AI56" s="34">
        <f t="shared" si="16"/>
        <v>0</v>
      </c>
      <c r="AJ56" s="33">
        <v>83.93548</v>
      </c>
      <c r="AK56" s="34">
        <f t="shared" si="17"/>
        <v>6.763393103</v>
      </c>
      <c r="AL56" s="33">
        <v>89.21572</v>
      </c>
      <c r="AM56" s="34">
        <f t="shared" si="18"/>
        <v>0</v>
      </c>
    </row>
    <row r="57">
      <c r="A57" s="32">
        <v>45885.0</v>
      </c>
      <c r="B57" s="33">
        <v>91.23632</v>
      </c>
      <c r="C57" s="34">
        <f t="shared" si="19"/>
        <v>14.48912637</v>
      </c>
      <c r="D57" s="33">
        <v>85.46821</v>
      </c>
      <c r="E57" s="34">
        <f t="shared" si="1"/>
        <v>1.936680649</v>
      </c>
      <c r="F57" s="33">
        <v>98.60396</v>
      </c>
      <c r="G57" s="34">
        <f t="shared" si="2"/>
        <v>0</v>
      </c>
      <c r="H57" s="33">
        <v>95.99686</v>
      </c>
      <c r="I57" s="34">
        <f t="shared" si="3"/>
        <v>13.06851279</v>
      </c>
      <c r="J57" s="33">
        <v>87.83099</v>
      </c>
      <c r="K57" s="34">
        <f t="shared" si="4"/>
        <v>0</v>
      </c>
      <c r="L57" s="33">
        <v>92.69903</v>
      </c>
      <c r="M57" s="34">
        <f t="shared" si="5"/>
        <v>0</v>
      </c>
      <c r="N57" s="33">
        <v>93.39449</v>
      </c>
      <c r="O57" s="34">
        <f t="shared" si="6"/>
        <v>0</v>
      </c>
      <c r="P57" s="33">
        <v>83.86267</v>
      </c>
      <c r="Q57" s="34">
        <f t="shared" si="7"/>
        <v>30.60500761</v>
      </c>
      <c r="R57" s="33">
        <v>93.22956</v>
      </c>
      <c r="S57" s="34">
        <f t="shared" si="8"/>
        <v>0</v>
      </c>
      <c r="T57" s="33">
        <v>87.01931</v>
      </c>
      <c r="U57" s="34">
        <f t="shared" si="9"/>
        <v>1.860625873</v>
      </c>
      <c r="V57" s="33">
        <v>102.74508</v>
      </c>
      <c r="W57" s="34">
        <f t="shared" si="10"/>
        <v>0</v>
      </c>
      <c r="X57" s="33">
        <v>87.18686</v>
      </c>
      <c r="Y57" s="34">
        <f t="shared" si="11"/>
        <v>3.105274344</v>
      </c>
      <c r="Z57" s="33">
        <v>91.19465</v>
      </c>
      <c r="AA57" s="34">
        <f t="shared" si="12"/>
        <v>0</v>
      </c>
      <c r="AB57" s="33">
        <v>91.67993</v>
      </c>
      <c r="AC57" s="34">
        <f t="shared" si="13"/>
        <v>0</v>
      </c>
      <c r="AD57" s="33">
        <v>92.17901</v>
      </c>
      <c r="AE57" s="34">
        <f t="shared" si="14"/>
        <v>0</v>
      </c>
      <c r="AF57" s="33">
        <v>89.31916</v>
      </c>
      <c r="AG57" s="34">
        <f t="shared" si="15"/>
        <v>7.089930617</v>
      </c>
      <c r="AH57" s="33">
        <v>81.39029</v>
      </c>
      <c r="AI57" s="34">
        <f t="shared" si="16"/>
        <v>0.5407550886</v>
      </c>
      <c r="AJ57" s="33">
        <v>89.64349</v>
      </c>
      <c r="AK57" s="34">
        <f t="shared" si="17"/>
        <v>2.569451723</v>
      </c>
      <c r="AL57" s="33">
        <v>92.41933</v>
      </c>
      <c r="AM57" s="34">
        <f t="shared" si="18"/>
        <v>0</v>
      </c>
    </row>
    <row r="58">
      <c r="A58" s="32">
        <v>45886.0</v>
      </c>
      <c r="B58" s="33">
        <v>91.20582</v>
      </c>
      <c r="C58" s="34">
        <f t="shared" si="19"/>
        <v>10.58239079</v>
      </c>
      <c r="D58" s="33">
        <v>85.95193</v>
      </c>
      <c r="E58" s="34">
        <f t="shared" si="1"/>
        <v>1.296411298</v>
      </c>
      <c r="F58" s="33">
        <v>94.50559</v>
      </c>
      <c r="G58" s="34">
        <f t="shared" si="2"/>
        <v>0</v>
      </c>
      <c r="H58" s="33">
        <v>97.76942</v>
      </c>
      <c r="I58" s="34">
        <f t="shared" si="3"/>
        <v>3.859197259</v>
      </c>
      <c r="J58" s="33">
        <v>90.42243</v>
      </c>
      <c r="K58" s="34">
        <f t="shared" si="4"/>
        <v>0</v>
      </c>
      <c r="L58" s="33">
        <v>91.73537</v>
      </c>
      <c r="M58" s="34">
        <f t="shared" si="5"/>
        <v>0</v>
      </c>
      <c r="N58" s="33">
        <v>89.74269</v>
      </c>
      <c r="O58" s="34">
        <f t="shared" si="6"/>
        <v>0</v>
      </c>
      <c r="P58" s="33">
        <v>86.59853</v>
      </c>
      <c r="Q58" s="34">
        <f t="shared" si="7"/>
        <v>28.41389737</v>
      </c>
      <c r="R58" s="33">
        <v>92.9228</v>
      </c>
      <c r="S58" s="34">
        <f t="shared" si="8"/>
        <v>0</v>
      </c>
      <c r="T58" s="33">
        <v>91.09465</v>
      </c>
      <c r="U58" s="34">
        <f t="shared" si="9"/>
        <v>0</v>
      </c>
      <c r="V58" s="33">
        <v>102.8591</v>
      </c>
      <c r="W58" s="34">
        <f t="shared" si="10"/>
        <v>0</v>
      </c>
      <c r="X58" s="33">
        <v>87.64575</v>
      </c>
      <c r="Y58" s="34">
        <f t="shared" si="11"/>
        <v>0.936053536</v>
      </c>
      <c r="Z58" s="33">
        <v>90.01732</v>
      </c>
      <c r="AA58" s="34">
        <f t="shared" si="12"/>
        <v>0</v>
      </c>
      <c r="AB58" s="33">
        <v>91.54147</v>
      </c>
      <c r="AC58" s="34">
        <f t="shared" si="13"/>
        <v>0</v>
      </c>
      <c r="AD58" s="33">
        <v>91.95172</v>
      </c>
      <c r="AE58" s="34">
        <f t="shared" si="14"/>
        <v>0</v>
      </c>
      <c r="AF58" s="33">
        <v>92.11515</v>
      </c>
      <c r="AG58" s="34">
        <f t="shared" si="15"/>
        <v>3.091886679</v>
      </c>
      <c r="AH58" s="33">
        <v>72.12307</v>
      </c>
      <c r="AI58" s="34">
        <f t="shared" si="16"/>
        <v>10.34873018</v>
      </c>
      <c r="AJ58" s="33">
        <v>90.55345</v>
      </c>
      <c r="AK58" s="34">
        <f t="shared" si="17"/>
        <v>0</v>
      </c>
      <c r="AL58" s="33">
        <v>92.83548</v>
      </c>
      <c r="AM58" s="34">
        <f t="shared" si="18"/>
        <v>0</v>
      </c>
    </row>
    <row r="59">
      <c r="A59" s="32">
        <v>45887.0</v>
      </c>
      <c r="B59" s="33">
        <v>89.08166</v>
      </c>
      <c r="C59" s="34">
        <f t="shared" si="19"/>
        <v>3.597745216</v>
      </c>
      <c r="D59" s="33">
        <v>82.69978</v>
      </c>
      <c r="E59" s="34">
        <f t="shared" si="1"/>
        <v>0.1724219463</v>
      </c>
      <c r="F59" s="33">
        <v>94.85571</v>
      </c>
      <c r="G59" s="34">
        <f t="shared" si="2"/>
        <v>0</v>
      </c>
      <c r="H59" s="33">
        <v>98.29453</v>
      </c>
      <c r="I59" s="34">
        <f t="shared" si="3"/>
        <v>0</v>
      </c>
      <c r="J59" s="33">
        <v>90.8282</v>
      </c>
      <c r="K59" s="34">
        <f t="shared" si="4"/>
        <v>0</v>
      </c>
      <c r="L59" s="33">
        <v>91.18727</v>
      </c>
      <c r="M59" s="34">
        <f t="shared" si="5"/>
        <v>0</v>
      </c>
      <c r="N59" s="33">
        <v>89.72937</v>
      </c>
      <c r="O59" s="34">
        <f t="shared" si="6"/>
        <v>0</v>
      </c>
      <c r="P59" s="33">
        <v>86.8951</v>
      </c>
      <c r="Q59" s="34">
        <f t="shared" si="7"/>
        <v>25.92621713</v>
      </c>
      <c r="R59" s="33">
        <v>91.62008</v>
      </c>
      <c r="S59" s="34">
        <f t="shared" si="8"/>
        <v>0</v>
      </c>
      <c r="T59" s="33">
        <v>88.63208</v>
      </c>
      <c r="U59" s="34">
        <f t="shared" si="9"/>
        <v>0</v>
      </c>
      <c r="V59" s="33">
        <v>103.48047</v>
      </c>
      <c r="W59" s="34">
        <f t="shared" si="10"/>
        <v>0</v>
      </c>
      <c r="X59" s="33">
        <v>86.76842</v>
      </c>
      <c r="Y59" s="34">
        <f t="shared" si="11"/>
        <v>0</v>
      </c>
      <c r="Z59" s="33">
        <v>89.29192</v>
      </c>
      <c r="AA59" s="34">
        <f t="shared" si="12"/>
        <v>0</v>
      </c>
      <c r="AB59" s="33">
        <v>92.81816</v>
      </c>
      <c r="AC59" s="34">
        <f t="shared" si="13"/>
        <v>0</v>
      </c>
      <c r="AD59" s="33">
        <v>93.77144</v>
      </c>
      <c r="AE59" s="34">
        <f t="shared" si="14"/>
        <v>0</v>
      </c>
      <c r="AF59" s="33">
        <v>90.5597</v>
      </c>
      <c r="AG59" s="34">
        <f t="shared" si="15"/>
        <v>0.649292741</v>
      </c>
      <c r="AH59" s="33">
        <v>70.23073</v>
      </c>
      <c r="AI59" s="34">
        <f t="shared" si="16"/>
        <v>22.04904527</v>
      </c>
      <c r="AJ59" s="33">
        <v>94.41214</v>
      </c>
      <c r="AK59" s="34">
        <f t="shared" si="17"/>
        <v>0</v>
      </c>
      <c r="AL59" s="33">
        <v>94.36844</v>
      </c>
      <c r="AM59" s="34">
        <f t="shared" si="18"/>
        <v>0</v>
      </c>
    </row>
    <row r="60">
      <c r="A60" s="32">
        <v>45888.0</v>
      </c>
      <c r="B60" s="33">
        <v>88.97453</v>
      </c>
      <c r="C60" s="34">
        <f t="shared" si="19"/>
        <v>0</v>
      </c>
      <c r="D60" s="33">
        <v>85.51203</v>
      </c>
      <c r="E60" s="34">
        <f t="shared" si="1"/>
        <v>2.300582595</v>
      </c>
      <c r="F60" s="33">
        <v>96.94358</v>
      </c>
      <c r="G60" s="34">
        <f t="shared" si="2"/>
        <v>0</v>
      </c>
      <c r="H60" s="33">
        <v>99.65016</v>
      </c>
      <c r="I60" s="34">
        <f t="shared" si="3"/>
        <v>0</v>
      </c>
      <c r="J60" s="33">
        <v>90.22183</v>
      </c>
      <c r="K60" s="34">
        <f t="shared" si="4"/>
        <v>0</v>
      </c>
      <c r="L60" s="33">
        <v>90.94699</v>
      </c>
      <c r="M60" s="34">
        <f t="shared" si="5"/>
        <v>0</v>
      </c>
      <c r="N60" s="33">
        <v>88.09701</v>
      </c>
      <c r="O60" s="34">
        <f t="shared" si="6"/>
        <v>0</v>
      </c>
      <c r="P60" s="33">
        <v>84.8378</v>
      </c>
      <c r="Q60" s="34">
        <f t="shared" si="7"/>
        <v>25.49583689</v>
      </c>
      <c r="R60" s="33">
        <v>90.15452</v>
      </c>
      <c r="S60" s="34">
        <f t="shared" si="8"/>
        <v>0</v>
      </c>
      <c r="T60" s="33">
        <v>87.91824</v>
      </c>
      <c r="U60" s="34">
        <f t="shared" si="9"/>
        <v>0</v>
      </c>
      <c r="V60" s="33">
        <v>99.05165</v>
      </c>
      <c r="W60" s="34">
        <f t="shared" si="10"/>
        <v>0</v>
      </c>
      <c r="X60" s="33">
        <v>86.62998</v>
      </c>
      <c r="Y60" s="34">
        <f t="shared" si="11"/>
        <v>0</v>
      </c>
      <c r="Z60" s="33">
        <v>89.68381</v>
      </c>
      <c r="AA60" s="34">
        <f t="shared" si="12"/>
        <v>0</v>
      </c>
      <c r="AB60" s="33">
        <v>94.52485</v>
      </c>
      <c r="AC60" s="34">
        <f t="shared" si="13"/>
        <v>0</v>
      </c>
      <c r="AD60" s="33">
        <v>94.93582</v>
      </c>
      <c r="AE60" s="34">
        <f t="shared" si="14"/>
        <v>0</v>
      </c>
      <c r="AF60" s="33">
        <v>89.39676</v>
      </c>
      <c r="AG60" s="34">
        <f t="shared" si="15"/>
        <v>0</v>
      </c>
      <c r="AH60" s="33">
        <v>75.50684</v>
      </c>
      <c r="AI60" s="34">
        <f t="shared" si="16"/>
        <v>28.47325035</v>
      </c>
      <c r="AJ60" s="33">
        <v>91.57711</v>
      </c>
      <c r="AK60" s="34">
        <f t="shared" si="17"/>
        <v>0</v>
      </c>
      <c r="AL60" s="33">
        <v>90.86631</v>
      </c>
      <c r="AM60" s="34">
        <f t="shared" si="18"/>
        <v>0</v>
      </c>
    </row>
    <row r="61">
      <c r="A61" s="32">
        <v>45889.0</v>
      </c>
      <c r="B61" s="33">
        <v>87.97075</v>
      </c>
      <c r="C61" s="34">
        <f t="shared" si="19"/>
        <v>0</v>
      </c>
      <c r="D61" s="33">
        <v>87.45904</v>
      </c>
      <c r="E61" s="34">
        <f t="shared" si="1"/>
        <v>1.616493244</v>
      </c>
      <c r="F61" s="33">
        <v>93.88032</v>
      </c>
      <c r="G61" s="34">
        <f t="shared" si="2"/>
        <v>0</v>
      </c>
      <c r="H61" s="33">
        <v>95.52364</v>
      </c>
      <c r="I61" s="34">
        <f t="shared" si="3"/>
        <v>0</v>
      </c>
      <c r="J61" s="33">
        <v>83.09994</v>
      </c>
      <c r="K61" s="34">
        <f t="shared" si="4"/>
        <v>1.799086252</v>
      </c>
      <c r="L61" s="33">
        <v>87.28641</v>
      </c>
      <c r="M61" s="34">
        <f t="shared" si="5"/>
        <v>0</v>
      </c>
      <c r="N61" s="33">
        <v>86.85813</v>
      </c>
      <c r="O61" s="34">
        <f t="shared" si="6"/>
        <v>0</v>
      </c>
      <c r="P61" s="33">
        <v>84.71945</v>
      </c>
      <c r="Q61" s="34">
        <f t="shared" si="7"/>
        <v>25.18380665</v>
      </c>
      <c r="R61" s="33">
        <v>86.33478</v>
      </c>
      <c r="S61" s="34">
        <f t="shared" si="8"/>
        <v>0</v>
      </c>
      <c r="T61" s="33">
        <v>86.35998</v>
      </c>
      <c r="U61" s="34">
        <f t="shared" si="9"/>
        <v>1.142788968</v>
      </c>
      <c r="V61" s="33">
        <v>96.1498</v>
      </c>
      <c r="W61" s="34">
        <f t="shared" si="10"/>
        <v>0</v>
      </c>
      <c r="X61" s="33">
        <v>89.46061</v>
      </c>
      <c r="Y61" s="34">
        <f t="shared" si="11"/>
        <v>0</v>
      </c>
      <c r="Z61" s="33">
        <v>89.89623</v>
      </c>
      <c r="AA61" s="34">
        <f t="shared" si="12"/>
        <v>0</v>
      </c>
      <c r="AB61" s="33">
        <v>92.39064</v>
      </c>
      <c r="AC61" s="34">
        <f t="shared" si="13"/>
        <v>0</v>
      </c>
      <c r="AD61" s="33">
        <v>95.83791</v>
      </c>
      <c r="AE61" s="34">
        <f t="shared" si="14"/>
        <v>0</v>
      </c>
      <c r="AF61" s="33">
        <v>85.20142</v>
      </c>
      <c r="AG61" s="34">
        <f t="shared" si="15"/>
        <v>2.915686062</v>
      </c>
      <c r="AH61" s="33">
        <v>80.05993</v>
      </c>
      <c r="AI61" s="34">
        <f t="shared" si="16"/>
        <v>30.34436544</v>
      </c>
      <c r="AJ61" s="33">
        <v>87.61033</v>
      </c>
      <c r="AK61" s="34">
        <f t="shared" si="17"/>
        <v>0</v>
      </c>
      <c r="AL61" s="33">
        <v>90.82796</v>
      </c>
      <c r="AM61" s="34">
        <f t="shared" si="18"/>
        <v>0</v>
      </c>
    </row>
    <row r="62">
      <c r="A62" s="32">
        <v>45890.0</v>
      </c>
      <c r="B62" s="33">
        <v>82.05889</v>
      </c>
      <c r="C62" s="34">
        <f t="shared" si="19"/>
        <v>0</v>
      </c>
      <c r="D62" s="33">
        <v>75.91723</v>
      </c>
      <c r="E62" s="34">
        <f t="shared" si="1"/>
        <v>0</v>
      </c>
      <c r="F62" s="33">
        <v>88.20734</v>
      </c>
      <c r="G62" s="34">
        <f t="shared" si="2"/>
        <v>0</v>
      </c>
      <c r="H62" s="33">
        <v>95.67774</v>
      </c>
      <c r="I62" s="34">
        <f t="shared" si="3"/>
        <v>0</v>
      </c>
      <c r="J62" s="33">
        <v>82.04485</v>
      </c>
      <c r="K62" s="34">
        <f t="shared" si="4"/>
        <v>4.653262503</v>
      </c>
      <c r="L62" s="33">
        <v>88.73822</v>
      </c>
      <c r="M62" s="34">
        <f t="shared" si="5"/>
        <v>0</v>
      </c>
      <c r="N62" s="33">
        <v>84.31923</v>
      </c>
      <c r="O62" s="34">
        <f t="shared" si="6"/>
        <v>0</v>
      </c>
      <c r="P62" s="33">
        <v>85.00485</v>
      </c>
      <c r="Q62" s="34">
        <f t="shared" si="7"/>
        <v>24.58637642</v>
      </c>
      <c r="R62" s="33">
        <v>86.86553</v>
      </c>
      <c r="S62" s="34">
        <f t="shared" si="8"/>
        <v>0</v>
      </c>
      <c r="T62" s="33">
        <v>87.84628</v>
      </c>
      <c r="U62" s="34">
        <f t="shared" si="9"/>
        <v>0.7992779363</v>
      </c>
      <c r="V62" s="33">
        <v>92.40931</v>
      </c>
      <c r="W62" s="34">
        <f t="shared" si="10"/>
        <v>0</v>
      </c>
      <c r="X62" s="33">
        <v>87.60316</v>
      </c>
      <c r="Y62" s="34">
        <f t="shared" si="11"/>
        <v>0</v>
      </c>
      <c r="Z62" s="33">
        <v>85.76318</v>
      </c>
      <c r="AA62" s="34">
        <f t="shared" si="12"/>
        <v>0</v>
      </c>
      <c r="AB62" s="33">
        <v>90.7892</v>
      </c>
      <c r="AC62" s="34">
        <f t="shared" si="13"/>
        <v>0</v>
      </c>
      <c r="AD62" s="33">
        <v>92.29675</v>
      </c>
      <c r="AE62" s="34">
        <f t="shared" si="14"/>
        <v>0</v>
      </c>
      <c r="AF62" s="33">
        <v>83.70377</v>
      </c>
      <c r="AG62" s="34">
        <f t="shared" si="15"/>
        <v>7.329022123</v>
      </c>
      <c r="AH62" s="33">
        <v>83.12536</v>
      </c>
      <c r="AI62" s="34">
        <f t="shared" si="16"/>
        <v>29.15005053</v>
      </c>
      <c r="AJ62" s="33">
        <v>88.34062</v>
      </c>
      <c r="AK62" s="34">
        <f t="shared" si="17"/>
        <v>0</v>
      </c>
      <c r="AL62" s="33">
        <v>89.2508</v>
      </c>
      <c r="AM62" s="34">
        <f t="shared" si="18"/>
        <v>0</v>
      </c>
    </row>
    <row r="63">
      <c r="A63" s="32">
        <v>45891.0</v>
      </c>
      <c r="B63" s="33">
        <v>79.17007</v>
      </c>
      <c r="C63" s="34">
        <f t="shared" si="19"/>
        <v>0</v>
      </c>
      <c r="D63" s="33">
        <v>78.38701</v>
      </c>
      <c r="E63" s="34">
        <f t="shared" si="1"/>
        <v>8.910710649</v>
      </c>
      <c r="F63" s="33">
        <v>87.29231</v>
      </c>
      <c r="G63" s="34">
        <f t="shared" si="2"/>
        <v>0</v>
      </c>
      <c r="H63" s="33">
        <v>87.37384</v>
      </c>
      <c r="I63" s="34">
        <f t="shared" si="3"/>
        <v>1.186264469</v>
      </c>
      <c r="J63" s="33">
        <v>84.96095</v>
      </c>
      <c r="K63" s="34">
        <f t="shared" si="4"/>
        <v>4.591338755</v>
      </c>
      <c r="L63" s="33">
        <v>90.3409</v>
      </c>
      <c r="M63" s="34">
        <f t="shared" si="5"/>
        <v>0</v>
      </c>
      <c r="N63" s="33">
        <v>84.77488</v>
      </c>
      <c r="O63" s="34">
        <f t="shared" si="6"/>
        <v>0</v>
      </c>
      <c r="P63" s="33">
        <v>80.9444</v>
      </c>
      <c r="Q63" s="34">
        <f t="shared" si="7"/>
        <v>28.04939618</v>
      </c>
      <c r="R63" s="33">
        <v>90.79122</v>
      </c>
      <c r="S63" s="34">
        <f t="shared" si="8"/>
        <v>0</v>
      </c>
      <c r="T63" s="33">
        <v>88.09733</v>
      </c>
      <c r="U63" s="34">
        <f t="shared" si="9"/>
        <v>0.2047169045</v>
      </c>
      <c r="V63" s="33">
        <v>94.24393</v>
      </c>
      <c r="W63" s="34">
        <f t="shared" si="10"/>
        <v>0</v>
      </c>
      <c r="X63" s="33">
        <v>84.03041</v>
      </c>
      <c r="Y63" s="34">
        <f t="shared" si="11"/>
        <v>1.446119192</v>
      </c>
      <c r="Z63" s="33">
        <v>85.51125</v>
      </c>
      <c r="AA63" s="34">
        <f t="shared" si="12"/>
        <v>0</v>
      </c>
      <c r="AB63" s="33">
        <v>89.93811</v>
      </c>
      <c r="AC63" s="34">
        <f t="shared" si="13"/>
        <v>0</v>
      </c>
      <c r="AD63" s="33">
        <v>91.50214</v>
      </c>
      <c r="AE63" s="34">
        <f t="shared" si="14"/>
        <v>0</v>
      </c>
      <c r="AF63" s="33">
        <v>85.63864</v>
      </c>
      <c r="AG63" s="34">
        <f t="shared" si="15"/>
        <v>9.807488185</v>
      </c>
      <c r="AH63" s="33">
        <v>81.54152</v>
      </c>
      <c r="AI63" s="34">
        <f t="shared" si="16"/>
        <v>29.53957562</v>
      </c>
      <c r="AJ63" s="33">
        <v>89.78016</v>
      </c>
      <c r="AK63" s="34">
        <f t="shared" si="17"/>
        <v>0</v>
      </c>
      <c r="AL63" s="33">
        <v>88.01239</v>
      </c>
      <c r="AM63" s="34">
        <f t="shared" si="18"/>
        <v>0</v>
      </c>
    </row>
    <row r="64">
      <c r="A64" s="32">
        <v>45892.0</v>
      </c>
      <c r="B64" s="33">
        <v>81.10206</v>
      </c>
      <c r="C64" s="34">
        <f t="shared" si="19"/>
        <v>2.192784424</v>
      </c>
      <c r="D64" s="33">
        <v>86.13955</v>
      </c>
      <c r="E64" s="34">
        <f t="shared" si="1"/>
        <v>15.3516413</v>
      </c>
      <c r="F64" s="33">
        <v>90.16038</v>
      </c>
      <c r="G64" s="34">
        <f t="shared" si="2"/>
        <v>0</v>
      </c>
      <c r="H64" s="33">
        <v>86.06356</v>
      </c>
      <c r="I64" s="34">
        <f t="shared" si="3"/>
        <v>3.682808938</v>
      </c>
      <c r="J64" s="33">
        <v>88.59101</v>
      </c>
      <c r="K64" s="34">
        <f t="shared" si="4"/>
        <v>0.8993550068</v>
      </c>
      <c r="L64" s="33">
        <v>89.88325</v>
      </c>
      <c r="M64" s="34">
        <f t="shared" si="5"/>
        <v>0</v>
      </c>
      <c r="N64" s="33">
        <v>86.95753</v>
      </c>
      <c r="O64" s="34">
        <f t="shared" si="6"/>
        <v>0</v>
      </c>
      <c r="P64" s="33">
        <v>82.97631</v>
      </c>
      <c r="Q64" s="34">
        <f t="shared" si="7"/>
        <v>29.48050594</v>
      </c>
      <c r="R64" s="33">
        <v>91.83303</v>
      </c>
      <c r="S64" s="34">
        <f t="shared" si="8"/>
        <v>0</v>
      </c>
      <c r="T64" s="33">
        <v>86.12341</v>
      </c>
      <c r="U64" s="34">
        <f t="shared" si="9"/>
        <v>1.584075873</v>
      </c>
      <c r="V64" s="33">
        <v>98.98996</v>
      </c>
      <c r="W64" s="34">
        <f t="shared" si="10"/>
        <v>0</v>
      </c>
      <c r="X64" s="33">
        <v>78.70915</v>
      </c>
      <c r="Y64" s="34">
        <f t="shared" si="11"/>
        <v>8.213498384</v>
      </c>
      <c r="Z64" s="33">
        <v>81.47405</v>
      </c>
      <c r="AA64" s="34">
        <f t="shared" si="12"/>
        <v>3.390828897</v>
      </c>
      <c r="AB64" s="33">
        <v>88.93192</v>
      </c>
      <c r="AC64" s="34">
        <f t="shared" si="13"/>
        <v>0.06601409254</v>
      </c>
      <c r="AD64" s="33">
        <v>92.10759</v>
      </c>
      <c r="AE64" s="34">
        <f t="shared" si="14"/>
        <v>0</v>
      </c>
      <c r="AF64" s="33">
        <v>79.46652</v>
      </c>
      <c r="AG64" s="34">
        <f t="shared" si="15"/>
        <v>18.45807425</v>
      </c>
      <c r="AH64" s="33">
        <v>82.87625</v>
      </c>
      <c r="AI64" s="34">
        <f t="shared" si="16"/>
        <v>28.59437071</v>
      </c>
      <c r="AJ64" s="33">
        <v>89.11484</v>
      </c>
      <c r="AK64" s="34">
        <f t="shared" si="17"/>
        <v>0</v>
      </c>
      <c r="AL64" s="33">
        <v>87.99551</v>
      </c>
      <c r="AM64" s="34">
        <f t="shared" si="18"/>
        <v>0</v>
      </c>
    </row>
    <row r="65">
      <c r="A65" s="32">
        <v>45893.0</v>
      </c>
      <c r="B65" s="33">
        <v>82.11966</v>
      </c>
      <c r="C65" s="34">
        <f t="shared" si="19"/>
        <v>7.274388849</v>
      </c>
      <c r="D65" s="33">
        <v>87.7897</v>
      </c>
      <c r="E65" s="34">
        <f t="shared" si="1"/>
        <v>14.04003195</v>
      </c>
      <c r="F65" s="33">
        <v>90.99802</v>
      </c>
      <c r="G65" s="34">
        <f t="shared" si="2"/>
        <v>0</v>
      </c>
      <c r="H65" s="33">
        <v>85.99222</v>
      </c>
      <c r="I65" s="34">
        <f t="shared" si="3"/>
        <v>6.250693407</v>
      </c>
      <c r="J65" s="33">
        <v>87.71106</v>
      </c>
      <c r="K65" s="34">
        <f t="shared" si="4"/>
        <v>0</v>
      </c>
      <c r="L65" s="33">
        <v>94.02169</v>
      </c>
      <c r="M65" s="34">
        <f t="shared" si="5"/>
        <v>0</v>
      </c>
      <c r="N65" s="33">
        <v>88.4248</v>
      </c>
      <c r="O65" s="34">
        <f t="shared" si="6"/>
        <v>0</v>
      </c>
      <c r="P65" s="33">
        <v>82.58654</v>
      </c>
      <c r="Q65" s="34">
        <f t="shared" si="7"/>
        <v>31.3013857</v>
      </c>
      <c r="R65" s="33">
        <v>88.28947</v>
      </c>
      <c r="S65" s="34">
        <f t="shared" si="8"/>
        <v>0</v>
      </c>
      <c r="T65" s="33">
        <v>86.68114</v>
      </c>
      <c r="U65" s="34">
        <f t="shared" si="9"/>
        <v>2.405704841</v>
      </c>
      <c r="V65" s="33">
        <v>97.34859</v>
      </c>
      <c r="W65" s="34">
        <f t="shared" si="10"/>
        <v>0</v>
      </c>
      <c r="X65" s="33">
        <v>76.96569</v>
      </c>
      <c r="Y65" s="34">
        <f t="shared" si="11"/>
        <v>16.72433758</v>
      </c>
      <c r="Z65" s="33">
        <v>81.31408</v>
      </c>
      <c r="AA65" s="34">
        <f t="shared" si="12"/>
        <v>6.941627794</v>
      </c>
      <c r="AB65" s="33">
        <v>92.86731</v>
      </c>
      <c r="AC65" s="34">
        <f t="shared" si="13"/>
        <v>0</v>
      </c>
      <c r="AD65" s="33">
        <v>91.81389</v>
      </c>
      <c r="AE65" s="34">
        <f t="shared" si="14"/>
        <v>0</v>
      </c>
      <c r="AF65" s="33">
        <v>85.15907</v>
      </c>
      <c r="AG65" s="34">
        <f t="shared" si="15"/>
        <v>21.41611031</v>
      </c>
      <c r="AH65" s="33">
        <v>86.00782</v>
      </c>
      <c r="AI65" s="34">
        <f t="shared" si="16"/>
        <v>24.5175958</v>
      </c>
      <c r="AJ65" s="33">
        <v>88.1717</v>
      </c>
      <c r="AK65" s="34">
        <f t="shared" si="17"/>
        <v>0</v>
      </c>
      <c r="AL65" s="33">
        <v>82.96682</v>
      </c>
      <c r="AM65" s="34">
        <f t="shared" si="18"/>
        <v>4.186181349</v>
      </c>
    </row>
    <row r="66">
      <c r="A66" s="32">
        <v>45894.0</v>
      </c>
      <c r="B66" s="33">
        <v>84.01993</v>
      </c>
      <c r="C66" s="34">
        <f t="shared" si="19"/>
        <v>10.42400327</v>
      </c>
      <c r="D66" s="33">
        <v>89.92922</v>
      </c>
      <c r="E66" s="34">
        <f t="shared" si="1"/>
        <v>11.0782726</v>
      </c>
      <c r="F66" s="33">
        <v>85.6986</v>
      </c>
      <c r="G66" s="34">
        <f t="shared" si="2"/>
        <v>1.160954285</v>
      </c>
      <c r="H66" s="33">
        <v>93.48049</v>
      </c>
      <c r="I66" s="34">
        <f t="shared" si="3"/>
        <v>1.330307876</v>
      </c>
      <c r="J66" s="33">
        <v>93.13833</v>
      </c>
      <c r="K66" s="34">
        <f t="shared" si="4"/>
        <v>0</v>
      </c>
      <c r="L66" s="33">
        <v>93.49259</v>
      </c>
      <c r="M66" s="34">
        <f t="shared" si="5"/>
        <v>0</v>
      </c>
      <c r="N66" s="33">
        <v>88.63985</v>
      </c>
      <c r="O66" s="34">
        <f t="shared" si="6"/>
        <v>0</v>
      </c>
      <c r="P66" s="33">
        <v>85.08161</v>
      </c>
      <c r="Q66" s="34">
        <f t="shared" si="7"/>
        <v>30.62719546</v>
      </c>
      <c r="R66" s="33">
        <v>84.10518</v>
      </c>
      <c r="S66" s="34">
        <f t="shared" si="8"/>
        <v>0.6747548364</v>
      </c>
      <c r="T66" s="33">
        <v>82.91228</v>
      </c>
      <c r="U66" s="34">
        <f t="shared" si="9"/>
        <v>6.996193809</v>
      </c>
      <c r="V66" s="33">
        <v>95.6823</v>
      </c>
      <c r="W66" s="34">
        <f t="shared" si="10"/>
        <v>0</v>
      </c>
      <c r="X66" s="33">
        <v>80.98212</v>
      </c>
      <c r="Y66" s="34">
        <f t="shared" si="11"/>
        <v>21.21874677</v>
      </c>
      <c r="Z66" s="33">
        <v>82.52972</v>
      </c>
      <c r="AA66" s="34">
        <f t="shared" si="12"/>
        <v>9.27678669</v>
      </c>
      <c r="AB66" s="33">
        <v>89.04413</v>
      </c>
      <c r="AC66" s="34">
        <f t="shared" si="13"/>
        <v>0</v>
      </c>
      <c r="AD66" s="33">
        <v>91.26814</v>
      </c>
      <c r="AE66" s="34">
        <f t="shared" si="14"/>
        <v>0</v>
      </c>
      <c r="AF66" s="33">
        <v>84.92425</v>
      </c>
      <c r="AG66" s="34">
        <f t="shared" si="15"/>
        <v>24.60896637</v>
      </c>
      <c r="AH66" s="33">
        <v>83.72776</v>
      </c>
      <c r="AI66" s="34">
        <f t="shared" si="16"/>
        <v>22.72088089</v>
      </c>
      <c r="AJ66" s="33">
        <v>87.16474</v>
      </c>
      <c r="AK66" s="34">
        <f t="shared" si="17"/>
        <v>0</v>
      </c>
      <c r="AL66" s="33">
        <v>85.42782</v>
      </c>
      <c r="AM66" s="34">
        <f t="shared" si="18"/>
        <v>5.911362697</v>
      </c>
    </row>
    <row r="67">
      <c r="A67" s="32">
        <v>45895.0</v>
      </c>
      <c r="B67" s="33">
        <v>87.03491</v>
      </c>
      <c r="C67" s="34">
        <f t="shared" si="19"/>
        <v>12.5560177</v>
      </c>
      <c r="D67" s="33">
        <v>93.00099</v>
      </c>
      <c r="E67" s="34">
        <f t="shared" si="1"/>
        <v>5.976993244</v>
      </c>
      <c r="F67" s="33">
        <v>85.83984</v>
      </c>
      <c r="G67" s="34">
        <f t="shared" si="2"/>
        <v>2.180668571</v>
      </c>
      <c r="H67" s="33">
        <v>96.54053</v>
      </c>
      <c r="I67" s="34">
        <f t="shared" si="3"/>
        <v>0</v>
      </c>
      <c r="J67" s="33">
        <v>94.03086</v>
      </c>
      <c r="K67" s="34">
        <f t="shared" si="4"/>
        <v>0</v>
      </c>
      <c r="L67" s="33">
        <v>94.83476</v>
      </c>
      <c r="M67" s="34">
        <f t="shared" si="5"/>
        <v>0</v>
      </c>
      <c r="N67" s="33">
        <v>90.28725</v>
      </c>
      <c r="O67" s="34">
        <f t="shared" si="6"/>
        <v>0</v>
      </c>
      <c r="P67" s="33">
        <v>84.97775</v>
      </c>
      <c r="Q67" s="34">
        <f t="shared" si="7"/>
        <v>30.05686522</v>
      </c>
      <c r="R67" s="33">
        <v>86.83801</v>
      </c>
      <c r="S67" s="34">
        <f t="shared" si="8"/>
        <v>0</v>
      </c>
      <c r="T67" s="33">
        <v>86.51601</v>
      </c>
      <c r="U67" s="34">
        <f t="shared" si="9"/>
        <v>7.982952777</v>
      </c>
      <c r="V67" s="33">
        <v>96.66596</v>
      </c>
      <c r="W67" s="34">
        <f t="shared" si="10"/>
        <v>0</v>
      </c>
      <c r="X67" s="33">
        <v>80.47467</v>
      </c>
      <c r="Y67" s="34">
        <f t="shared" si="11"/>
        <v>26.22060596</v>
      </c>
      <c r="Z67" s="33">
        <v>88.11508</v>
      </c>
      <c r="AA67" s="34">
        <f t="shared" si="12"/>
        <v>6.026585587</v>
      </c>
      <c r="AB67" s="33">
        <v>91.09769</v>
      </c>
      <c r="AC67" s="34">
        <f t="shared" si="13"/>
        <v>0</v>
      </c>
      <c r="AD67" s="33">
        <v>95.59475</v>
      </c>
      <c r="AE67" s="34">
        <f t="shared" si="14"/>
        <v>0</v>
      </c>
      <c r="AF67" s="33">
        <v>86.76478</v>
      </c>
      <c r="AG67" s="34">
        <f t="shared" si="15"/>
        <v>25.96129243</v>
      </c>
      <c r="AH67" s="33">
        <v>85.04514</v>
      </c>
      <c r="AI67" s="34">
        <f t="shared" si="16"/>
        <v>19.60678598</v>
      </c>
      <c r="AJ67" s="33">
        <v>87.2532</v>
      </c>
      <c r="AK67" s="34">
        <f t="shared" si="17"/>
        <v>0</v>
      </c>
      <c r="AL67" s="33">
        <v>87.0693</v>
      </c>
      <c r="AM67" s="34">
        <f t="shared" si="18"/>
        <v>5.995064046</v>
      </c>
    </row>
    <row r="68">
      <c r="A68" s="32">
        <v>45896.0</v>
      </c>
      <c r="B68" s="33">
        <v>90.15381</v>
      </c>
      <c r="C68" s="34">
        <f t="shared" si="19"/>
        <v>12.78776212</v>
      </c>
      <c r="D68" s="33">
        <v>94.79501</v>
      </c>
      <c r="E68" s="34">
        <f t="shared" si="1"/>
        <v>0</v>
      </c>
      <c r="F68" s="33">
        <v>90.24224</v>
      </c>
      <c r="G68" s="34">
        <f t="shared" si="2"/>
        <v>0</v>
      </c>
      <c r="H68" s="33">
        <v>93.3861</v>
      </c>
      <c r="I68" s="34">
        <f t="shared" si="3"/>
        <v>0</v>
      </c>
      <c r="J68" s="33">
        <v>93.86456</v>
      </c>
      <c r="K68" s="34">
        <f t="shared" si="4"/>
        <v>0</v>
      </c>
      <c r="L68" s="33">
        <v>92.18906</v>
      </c>
      <c r="M68" s="34">
        <f t="shared" si="5"/>
        <v>0</v>
      </c>
      <c r="N68" s="33">
        <v>91.02199</v>
      </c>
      <c r="O68" s="34">
        <f t="shared" si="6"/>
        <v>0</v>
      </c>
      <c r="P68" s="33">
        <v>87.29539</v>
      </c>
      <c r="Q68" s="34">
        <f t="shared" si="7"/>
        <v>27.16889498</v>
      </c>
      <c r="R68" s="33">
        <v>86.53651</v>
      </c>
      <c r="S68" s="34">
        <f t="shared" si="8"/>
        <v>0</v>
      </c>
      <c r="T68" s="33">
        <v>89.55901</v>
      </c>
      <c r="U68" s="34">
        <f t="shared" si="9"/>
        <v>5.926711745</v>
      </c>
      <c r="V68" s="33">
        <v>94.99905</v>
      </c>
      <c r="W68" s="34">
        <f t="shared" si="10"/>
        <v>0</v>
      </c>
      <c r="X68" s="33">
        <v>83.06756</v>
      </c>
      <c r="Y68" s="34">
        <f t="shared" si="11"/>
        <v>28.62957515</v>
      </c>
      <c r="Z68" s="33">
        <v>89.10021</v>
      </c>
      <c r="AA68" s="34">
        <f t="shared" si="12"/>
        <v>1.791254484</v>
      </c>
      <c r="AB68" s="33">
        <v>88.42011</v>
      </c>
      <c r="AC68" s="34">
        <f t="shared" si="13"/>
        <v>0.5778240925</v>
      </c>
      <c r="AD68" s="33">
        <v>96.24915</v>
      </c>
      <c r="AE68" s="34">
        <f t="shared" si="14"/>
        <v>0</v>
      </c>
      <c r="AF68" s="33">
        <v>86.32111</v>
      </c>
      <c r="AG68" s="34">
        <f t="shared" si="15"/>
        <v>27.75728849</v>
      </c>
      <c r="AH68" s="33">
        <v>80.54372</v>
      </c>
      <c r="AI68" s="34">
        <f t="shared" si="16"/>
        <v>20.99411106</v>
      </c>
      <c r="AJ68" s="33">
        <v>85.73672</v>
      </c>
      <c r="AK68" s="34">
        <f t="shared" si="17"/>
        <v>0</v>
      </c>
      <c r="AL68" s="33">
        <v>86.41908</v>
      </c>
      <c r="AM68" s="34">
        <f t="shared" si="18"/>
        <v>6.728985394</v>
      </c>
    </row>
    <row r="69">
      <c r="A69" s="32">
        <v>45897.0</v>
      </c>
      <c r="B69" s="33">
        <v>90.25915</v>
      </c>
      <c r="C69" s="34">
        <f t="shared" si="19"/>
        <v>10.00452655</v>
      </c>
      <c r="D69" s="33">
        <v>91.14886</v>
      </c>
      <c r="E69" s="34">
        <f t="shared" si="1"/>
        <v>0</v>
      </c>
      <c r="F69" s="33">
        <v>89.92861</v>
      </c>
      <c r="G69" s="34">
        <f t="shared" si="2"/>
        <v>0</v>
      </c>
      <c r="H69" s="33">
        <v>92.80627</v>
      </c>
      <c r="I69" s="34">
        <f t="shared" si="3"/>
        <v>0</v>
      </c>
      <c r="J69" s="33">
        <v>94.17583</v>
      </c>
      <c r="K69" s="34">
        <f t="shared" si="4"/>
        <v>0</v>
      </c>
      <c r="L69" s="33">
        <v>86.79688</v>
      </c>
      <c r="M69" s="34">
        <f t="shared" si="5"/>
        <v>0.3535972738</v>
      </c>
      <c r="N69" s="33">
        <v>91.08605</v>
      </c>
      <c r="O69" s="34">
        <f t="shared" si="6"/>
        <v>0</v>
      </c>
      <c r="P69" s="33">
        <v>88.69905</v>
      </c>
      <c r="Q69" s="34">
        <f t="shared" si="7"/>
        <v>22.87726474</v>
      </c>
      <c r="R69" s="33">
        <v>87.246</v>
      </c>
      <c r="S69" s="34">
        <f t="shared" si="8"/>
        <v>0</v>
      </c>
      <c r="T69" s="33">
        <v>89.44231</v>
      </c>
      <c r="U69" s="34">
        <f t="shared" si="9"/>
        <v>3.987170713</v>
      </c>
      <c r="V69" s="33">
        <v>91.73441</v>
      </c>
      <c r="W69" s="34">
        <f t="shared" si="10"/>
        <v>0</v>
      </c>
      <c r="X69" s="33">
        <v>83.09323</v>
      </c>
      <c r="Y69" s="34">
        <f t="shared" si="11"/>
        <v>31.01287434</v>
      </c>
      <c r="Z69" s="33">
        <v>88.3863</v>
      </c>
      <c r="AA69" s="34">
        <f t="shared" si="12"/>
        <v>0</v>
      </c>
      <c r="AB69" s="33">
        <v>90.57918</v>
      </c>
      <c r="AC69" s="34">
        <f t="shared" si="13"/>
        <v>0</v>
      </c>
      <c r="AD69" s="33">
        <v>96.31834</v>
      </c>
      <c r="AE69" s="34">
        <f t="shared" si="14"/>
        <v>0</v>
      </c>
      <c r="AF69" s="33">
        <v>89.63339</v>
      </c>
      <c r="AG69" s="34">
        <f t="shared" si="15"/>
        <v>26.24100456</v>
      </c>
      <c r="AH69" s="33">
        <v>82.2118</v>
      </c>
      <c r="AI69" s="34">
        <f t="shared" si="16"/>
        <v>20.71335615</v>
      </c>
      <c r="AJ69" s="33">
        <v>85.78787</v>
      </c>
      <c r="AK69" s="34">
        <f t="shared" si="17"/>
        <v>0</v>
      </c>
      <c r="AL69" s="33">
        <v>84.66044</v>
      </c>
      <c r="AM69" s="34">
        <f t="shared" si="18"/>
        <v>9.221546743</v>
      </c>
    </row>
    <row r="70">
      <c r="A70" s="32">
        <v>45898.0</v>
      </c>
      <c r="B70" s="33">
        <v>91.22982</v>
      </c>
      <c r="C70" s="34">
        <f t="shared" si="19"/>
        <v>4.102390971</v>
      </c>
      <c r="D70" s="33">
        <v>91.53758</v>
      </c>
      <c r="E70" s="34">
        <f t="shared" si="1"/>
        <v>0</v>
      </c>
      <c r="F70" s="33">
        <v>91.67699</v>
      </c>
      <c r="G70" s="34">
        <f t="shared" si="2"/>
        <v>0</v>
      </c>
      <c r="H70" s="33">
        <v>93.81598</v>
      </c>
      <c r="I70" s="34">
        <f t="shared" si="3"/>
        <v>0</v>
      </c>
      <c r="J70" s="33">
        <v>86.79467</v>
      </c>
      <c r="K70" s="34">
        <f t="shared" si="4"/>
        <v>0</v>
      </c>
      <c r="L70" s="33">
        <v>87.57669</v>
      </c>
      <c r="M70" s="34">
        <f t="shared" si="5"/>
        <v>0</v>
      </c>
      <c r="N70" s="33">
        <v>94.81487</v>
      </c>
      <c r="O70" s="34">
        <f t="shared" si="6"/>
        <v>0</v>
      </c>
      <c r="P70" s="33">
        <v>92.13156</v>
      </c>
      <c r="Q70" s="34">
        <f t="shared" si="7"/>
        <v>15.1531245</v>
      </c>
      <c r="R70" s="33">
        <v>87.6326</v>
      </c>
      <c r="S70" s="34">
        <f t="shared" si="8"/>
        <v>0</v>
      </c>
      <c r="T70" s="33">
        <v>90.72762</v>
      </c>
      <c r="U70" s="34">
        <f t="shared" si="9"/>
        <v>0.7623196816</v>
      </c>
      <c r="V70" s="33">
        <v>89.91018</v>
      </c>
      <c r="W70" s="34">
        <f t="shared" si="10"/>
        <v>0</v>
      </c>
      <c r="X70" s="33">
        <v>86.25732</v>
      </c>
      <c r="Y70" s="34">
        <f t="shared" si="11"/>
        <v>30.23208354</v>
      </c>
      <c r="Z70" s="33">
        <v>80.74492</v>
      </c>
      <c r="AA70" s="34">
        <f t="shared" si="12"/>
        <v>4.119958897</v>
      </c>
      <c r="AB70" s="33">
        <v>93.36862</v>
      </c>
      <c r="AC70" s="34">
        <f t="shared" si="13"/>
        <v>0</v>
      </c>
      <c r="AD70" s="33">
        <v>99.3763</v>
      </c>
      <c r="AE70" s="34">
        <f t="shared" si="14"/>
        <v>0</v>
      </c>
      <c r="AF70" s="33">
        <v>86.12345</v>
      </c>
      <c r="AG70" s="34">
        <f t="shared" si="15"/>
        <v>28.23466062</v>
      </c>
      <c r="AH70" s="33">
        <v>92.23254</v>
      </c>
      <c r="AI70" s="34">
        <f t="shared" si="16"/>
        <v>10.41186124</v>
      </c>
      <c r="AJ70" s="33">
        <v>92.40711</v>
      </c>
      <c r="AK70" s="34">
        <f t="shared" si="17"/>
        <v>0</v>
      </c>
      <c r="AL70" s="33">
        <v>85.54649</v>
      </c>
      <c r="AM70" s="34">
        <f t="shared" si="18"/>
        <v>10.82805809</v>
      </c>
    </row>
    <row r="71">
      <c r="A71" s="32">
        <v>45899.0</v>
      </c>
      <c r="B71" s="33">
        <v>91.20361</v>
      </c>
      <c r="C71" s="34">
        <f t="shared" si="19"/>
        <v>0</v>
      </c>
      <c r="D71" s="33">
        <v>92.6356</v>
      </c>
      <c r="E71" s="34">
        <f t="shared" si="1"/>
        <v>0</v>
      </c>
      <c r="F71" s="33">
        <v>91.1282</v>
      </c>
      <c r="G71" s="34">
        <f t="shared" si="2"/>
        <v>0</v>
      </c>
      <c r="H71" s="33">
        <v>92.63046</v>
      </c>
      <c r="I71" s="34">
        <f t="shared" si="3"/>
        <v>0</v>
      </c>
      <c r="J71" s="33">
        <v>85.68827</v>
      </c>
      <c r="K71" s="34">
        <f t="shared" si="4"/>
        <v>0</v>
      </c>
      <c r="L71" s="33">
        <v>82.48453</v>
      </c>
      <c r="M71" s="34">
        <f t="shared" si="5"/>
        <v>4.665947274</v>
      </c>
      <c r="N71" s="33">
        <v>89.79655</v>
      </c>
      <c r="O71" s="34">
        <f t="shared" si="6"/>
        <v>0</v>
      </c>
      <c r="P71" s="33">
        <v>88.41591</v>
      </c>
      <c r="Q71" s="34">
        <f t="shared" si="7"/>
        <v>11.14463426</v>
      </c>
      <c r="R71" s="33">
        <v>86.56756</v>
      </c>
      <c r="S71" s="34">
        <f t="shared" si="8"/>
        <v>0</v>
      </c>
      <c r="T71" s="33">
        <v>91.14743</v>
      </c>
      <c r="U71" s="34">
        <f t="shared" si="9"/>
        <v>0</v>
      </c>
      <c r="V71" s="33">
        <v>89.69686</v>
      </c>
      <c r="W71" s="34">
        <f t="shared" si="10"/>
        <v>0</v>
      </c>
      <c r="X71" s="33">
        <v>88.50395</v>
      </c>
      <c r="Y71" s="34">
        <f t="shared" si="11"/>
        <v>27.20466273</v>
      </c>
      <c r="Z71" s="33">
        <v>84.17663</v>
      </c>
      <c r="AA71" s="34">
        <f t="shared" si="12"/>
        <v>4.808207794</v>
      </c>
      <c r="AB71" s="33">
        <v>84.92402</v>
      </c>
      <c r="AC71" s="34">
        <f t="shared" si="13"/>
        <v>4.073914093</v>
      </c>
      <c r="AD71" s="33">
        <v>94.9099</v>
      </c>
      <c r="AE71" s="34">
        <f t="shared" si="14"/>
        <v>0</v>
      </c>
      <c r="AF71" s="33">
        <v>86.10111</v>
      </c>
      <c r="AG71" s="34">
        <f t="shared" si="15"/>
        <v>30.25065668</v>
      </c>
      <c r="AH71" s="33">
        <v>90.87219</v>
      </c>
      <c r="AI71" s="34">
        <f t="shared" si="16"/>
        <v>1.47071633</v>
      </c>
      <c r="AJ71" s="33">
        <v>90.16059</v>
      </c>
      <c r="AK71" s="34">
        <f t="shared" si="17"/>
        <v>0</v>
      </c>
      <c r="AL71" s="33">
        <v>80.19225</v>
      </c>
      <c r="AM71" s="34">
        <f t="shared" si="18"/>
        <v>17.78880944</v>
      </c>
    </row>
    <row r="72">
      <c r="A72" s="32">
        <v>45900.0</v>
      </c>
      <c r="B72" s="33">
        <v>84.21506</v>
      </c>
      <c r="C72" s="34">
        <f t="shared" si="19"/>
        <v>0</v>
      </c>
      <c r="D72" s="33">
        <v>86.8672</v>
      </c>
      <c r="E72" s="34">
        <f t="shared" si="1"/>
        <v>0</v>
      </c>
      <c r="F72" s="33">
        <v>85.8322</v>
      </c>
      <c r="G72" s="34">
        <f t="shared" si="2"/>
        <v>1.027354285</v>
      </c>
      <c r="H72" s="33">
        <v>83.99733</v>
      </c>
      <c r="I72" s="34">
        <f t="shared" si="3"/>
        <v>4.562774469</v>
      </c>
      <c r="J72" s="33">
        <v>78.6334</v>
      </c>
      <c r="K72" s="34">
        <f t="shared" si="4"/>
        <v>6.265626252</v>
      </c>
      <c r="L72" s="33">
        <v>77.27013</v>
      </c>
      <c r="M72" s="34">
        <f t="shared" si="5"/>
        <v>14.54629455</v>
      </c>
      <c r="N72" s="33">
        <v>87.25156</v>
      </c>
      <c r="O72" s="34">
        <f t="shared" si="6"/>
        <v>0</v>
      </c>
      <c r="P72" s="33">
        <v>87.53434</v>
      </c>
      <c r="Q72" s="34">
        <f t="shared" si="7"/>
        <v>8.017714026</v>
      </c>
      <c r="R72" s="33">
        <v>84.8996</v>
      </c>
      <c r="S72" s="34">
        <f t="shared" si="8"/>
        <v>0</v>
      </c>
      <c r="T72" s="33">
        <v>88.7883</v>
      </c>
      <c r="U72" s="34">
        <f t="shared" si="9"/>
        <v>0</v>
      </c>
      <c r="V72" s="33">
        <v>87.76314</v>
      </c>
      <c r="W72" s="34">
        <f t="shared" si="10"/>
        <v>0</v>
      </c>
      <c r="X72" s="33">
        <v>87.13301</v>
      </c>
      <c r="Y72" s="34">
        <f t="shared" si="11"/>
        <v>25.54818192</v>
      </c>
      <c r="Z72" s="33">
        <v>79.13425</v>
      </c>
      <c r="AA72" s="34">
        <f t="shared" si="12"/>
        <v>10.53883669</v>
      </c>
      <c r="AB72" s="33">
        <v>84.42177</v>
      </c>
      <c r="AC72" s="34">
        <f t="shared" si="13"/>
        <v>8.650078185</v>
      </c>
      <c r="AD72" s="33">
        <v>92.06512</v>
      </c>
      <c r="AE72" s="34">
        <f t="shared" si="14"/>
        <v>0</v>
      </c>
      <c r="AF72" s="33">
        <v>83.49486</v>
      </c>
      <c r="AG72" s="34">
        <f t="shared" si="15"/>
        <v>34.87290274</v>
      </c>
      <c r="AH72" s="33">
        <v>92.19726</v>
      </c>
      <c r="AI72" s="34">
        <f t="shared" si="16"/>
        <v>0</v>
      </c>
      <c r="AJ72" s="33">
        <v>92.97183</v>
      </c>
      <c r="AK72" s="34">
        <f t="shared" si="17"/>
        <v>0</v>
      </c>
      <c r="AL72" s="33">
        <v>79.95475</v>
      </c>
      <c r="AM72" s="34">
        <f t="shared" si="18"/>
        <v>24.98706079</v>
      </c>
    </row>
    <row r="73">
      <c r="A73" s="32">
        <v>45901.0</v>
      </c>
      <c r="B73" s="33">
        <v>80.79001</v>
      </c>
      <c r="C73" s="34">
        <f t="shared" si="19"/>
        <v>0</v>
      </c>
      <c r="D73" s="33">
        <v>84.39743</v>
      </c>
      <c r="E73" s="34">
        <f t="shared" si="1"/>
        <v>0</v>
      </c>
      <c r="F73" s="33">
        <v>79.09514</v>
      </c>
      <c r="G73" s="34">
        <f t="shared" si="2"/>
        <v>8.791768571</v>
      </c>
      <c r="H73" s="33">
        <v>82.73022</v>
      </c>
      <c r="I73" s="34">
        <f t="shared" si="3"/>
        <v>10.39265894</v>
      </c>
      <c r="J73" s="33">
        <v>76.18104</v>
      </c>
      <c r="K73" s="34">
        <f t="shared" si="4"/>
        <v>14.9836125</v>
      </c>
      <c r="L73" s="33">
        <v>72.50946</v>
      </c>
      <c r="M73" s="34">
        <f t="shared" si="5"/>
        <v>29.18731182</v>
      </c>
      <c r="N73" s="33">
        <v>86.31586</v>
      </c>
      <c r="O73" s="34">
        <f t="shared" si="6"/>
        <v>0</v>
      </c>
      <c r="P73" s="33">
        <v>85.07597</v>
      </c>
      <c r="Q73" s="34">
        <f t="shared" si="7"/>
        <v>7.349163787</v>
      </c>
      <c r="R73" s="33">
        <v>82.32258</v>
      </c>
      <c r="S73" s="34">
        <f t="shared" si="8"/>
        <v>2.457354836</v>
      </c>
      <c r="T73" s="33">
        <v>80.88104</v>
      </c>
      <c r="U73" s="34">
        <f t="shared" si="9"/>
        <v>6.621728968</v>
      </c>
      <c r="V73" s="33">
        <v>87.23333</v>
      </c>
      <c r="W73" s="34">
        <f t="shared" si="10"/>
        <v>0.3981012642</v>
      </c>
      <c r="X73" s="33">
        <v>88.03053</v>
      </c>
      <c r="Y73" s="34">
        <f t="shared" si="11"/>
        <v>22.99418111</v>
      </c>
      <c r="Z73" s="33">
        <v>77.69742</v>
      </c>
      <c r="AA73" s="34">
        <f t="shared" si="12"/>
        <v>17.70629559</v>
      </c>
      <c r="AB73" s="33">
        <v>84.71029</v>
      </c>
      <c r="AC73" s="34">
        <f t="shared" si="13"/>
        <v>12.93772228</v>
      </c>
      <c r="AD73" s="33">
        <v>89.43477</v>
      </c>
      <c r="AE73" s="34">
        <f t="shared" si="14"/>
        <v>1.440691291</v>
      </c>
      <c r="AF73" s="33">
        <v>85.73914</v>
      </c>
      <c r="AG73" s="34">
        <f t="shared" si="15"/>
        <v>37.2508688</v>
      </c>
      <c r="AH73" s="33">
        <v>89.29805</v>
      </c>
      <c r="AI73" s="34">
        <f t="shared" si="16"/>
        <v>0</v>
      </c>
      <c r="AJ73" s="33">
        <v>89.51349</v>
      </c>
      <c r="AK73" s="34">
        <f t="shared" si="17"/>
        <v>0</v>
      </c>
      <c r="AL73" s="33">
        <v>82.74034</v>
      </c>
      <c r="AM73" s="34">
        <f t="shared" si="18"/>
        <v>29.39972214</v>
      </c>
    </row>
    <row r="74">
      <c r="A74" s="32">
        <v>45902.0</v>
      </c>
      <c r="B74" s="33">
        <v>78.60881</v>
      </c>
      <c r="C74" s="34">
        <f t="shared" si="19"/>
        <v>0.03661442449</v>
      </c>
      <c r="D74" s="33">
        <v>80.26767</v>
      </c>
      <c r="E74" s="34">
        <f t="shared" si="1"/>
        <v>0.4305106488</v>
      </c>
      <c r="F74" s="33">
        <v>79.37083</v>
      </c>
      <c r="G74" s="34">
        <f t="shared" si="2"/>
        <v>16.28049286</v>
      </c>
      <c r="H74" s="33">
        <v>75.23027</v>
      </c>
      <c r="I74" s="34">
        <f t="shared" si="3"/>
        <v>23.72249341</v>
      </c>
      <c r="J74" s="33">
        <v>75.68338</v>
      </c>
      <c r="K74" s="34">
        <f t="shared" si="4"/>
        <v>24.19925876</v>
      </c>
      <c r="L74" s="33">
        <v>76.12972</v>
      </c>
      <c r="M74" s="34">
        <f t="shared" si="5"/>
        <v>40.2080691</v>
      </c>
      <c r="N74" s="33">
        <v>82.68682</v>
      </c>
      <c r="O74" s="34">
        <f t="shared" si="6"/>
        <v>0.8242972313</v>
      </c>
      <c r="P74" s="33">
        <v>78.64519</v>
      </c>
      <c r="Q74" s="34">
        <f t="shared" si="7"/>
        <v>13.11139355</v>
      </c>
      <c r="R74" s="33">
        <v>80.63346</v>
      </c>
      <c r="S74" s="34">
        <f t="shared" si="8"/>
        <v>6.603829673</v>
      </c>
      <c r="T74" s="33">
        <v>81.13789</v>
      </c>
      <c r="U74" s="34">
        <f t="shared" si="9"/>
        <v>12.98660794</v>
      </c>
      <c r="V74" s="33">
        <v>82.78724</v>
      </c>
      <c r="W74" s="34">
        <f t="shared" si="10"/>
        <v>5.242292528</v>
      </c>
      <c r="X74" s="33">
        <v>81.80404</v>
      </c>
      <c r="Y74" s="34">
        <f t="shared" si="11"/>
        <v>26.6666703</v>
      </c>
      <c r="Z74" s="33">
        <v>73.85681</v>
      </c>
      <c r="AA74" s="34">
        <f t="shared" si="12"/>
        <v>28.71436448</v>
      </c>
      <c r="AB74" s="33">
        <v>91.08964</v>
      </c>
      <c r="AC74" s="34">
        <f t="shared" si="13"/>
        <v>10.84601637</v>
      </c>
      <c r="AD74" s="33">
        <v>94.85707</v>
      </c>
      <c r="AE74" s="34">
        <f t="shared" si="14"/>
        <v>0</v>
      </c>
      <c r="AF74" s="33">
        <v>90.02372</v>
      </c>
      <c r="AG74" s="34">
        <f t="shared" si="15"/>
        <v>35.34425486</v>
      </c>
      <c r="AH74" s="33">
        <v>89.23801</v>
      </c>
      <c r="AI74" s="34">
        <f t="shared" si="16"/>
        <v>0</v>
      </c>
      <c r="AJ74" s="33">
        <v>88.05312</v>
      </c>
      <c r="AK74" s="34">
        <f t="shared" si="17"/>
        <v>0</v>
      </c>
      <c r="AL74" s="33">
        <v>84.08352</v>
      </c>
      <c r="AM74" s="34">
        <f t="shared" si="18"/>
        <v>32.46920349</v>
      </c>
    </row>
    <row r="75">
      <c r="A75" s="32">
        <v>45903.0</v>
      </c>
      <c r="B75" s="33">
        <v>100.82831</v>
      </c>
      <c r="C75" s="34">
        <f t="shared" si="19"/>
        <v>3.498278849</v>
      </c>
      <c r="D75" s="33">
        <v>92.48122</v>
      </c>
      <c r="E75" s="34">
        <f t="shared" si="1"/>
        <v>4.990781298</v>
      </c>
      <c r="F75" s="33">
        <v>92.7358</v>
      </c>
      <c r="G75" s="34">
        <f t="shared" si="2"/>
        <v>10.40424714</v>
      </c>
      <c r="H75" s="33">
        <v>80.40908</v>
      </c>
      <c r="I75" s="34">
        <f t="shared" si="3"/>
        <v>31.87351788</v>
      </c>
      <c r="J75" s="33">
        <v>75.71133</v>
      </c>
      <c r="K75" s="34">
        <f t="shared" si="4"/>
        <v>33.38695501</v>
      </c>
      <c r="L75" s="33">
        <v>81.38271</v>
      </c>
      <c r="M75" s="34">
        <f t="shared" si="5"/>
        <v>45.97583637</v>
      </c>
      <c r="N75" s="33">
        <v>84.87371</v>
      </c>
      <c r="O75" s="34">
        <f t="shared" si="6"/>
        <v>0</v>
      </c>
      <c r="P75" s="33">
        <v>79.28612</v>
      </c>
      <c r="Q75" s="34">
        <f t="shared" si="7"/>
        <v>18.23269331</v>
      </c>
      <c r="R75" s="33">
        <v>85.32456</v>
      </c>
      <c r="S75" s="34">
        <f t="shared" si="8"/>
        <v>6.059204509</v>
      </c>
      <c r="T75" s="33">
        <v>82.96819</v>
      </c>
      <c r="U75" s="34">
        <f t="shared" si="9"/>
        <v>17.5211869</v>
      </c>
      <c r="V75" s="33">
        <v>80.94466</v>
      </c>
      <c r="W75" s="34">
        <f t="shared" si="10"/>
        <v>11.92906379</v>
      </c>
      <c r="X75" s="33">
        <v>83.3826</v>
      </c>
      <c r="Y75" s="34">
        <f t="shared" si="11"/>
        <v>28.7605995</v>
      </c>
      <c r="Z75" s="33">
        <v>75.30371</v>
      </c>
      <c r="AA75" s="34">
        <f t="shared" si="12"/>
        <v>38.27553338</v>
      </c>
      <c r="AB75" s="33">
        <v>89.64374</v>
      </c>
      <c r="AC75" s="34">
        <f t="shared" si="13"/>
        <v>10.20021046</v>
      </c>
      <c r="AD75" s="33">
        <v>94.74394</v>
      </c>
      <c r="AE75" s="34">
        <f t="shared" si="14"/>
        <v>0</v>
      </c>
      <c r="AF75" s="33">
        <v>88.29049</v>
      </c>
      <c r="AG75" s="34">
        <f t="shared" si="15"/>
        <v>35.17087093</v>
      </c>
      <c r="AH75" s="33">
        <v>84.23884</v>
      </c>
      <c r="AI75" s="34">
        <f t="shared" si="16"/>
        <v>0</v>
      </c>
      <c r="AJ75" s="33">
        <v>90.13291</v>
      </c>
      <c r="AK75" s="34">
        <f t="shared" si="17"/>
        <v>0</v>
      </c>
      <c r="AL75" s="33">
        <v>88.77056</v>
      </c>
      <c r="AM75" s="34">
        <f t="shared" si="18"/>
        <v>30.85164483</v>
      </c>
    </row>
    <row r="76">
      <c r="A76" s="32">
        <v>45904.0</v>
      </c>
      <c r="B76" s="33">
        <v>92.64082</v>
      </c>
      <c r="C76" s="34">
        <f t="shared" si="19"/>
        <v>9.141143273</v>
      </c>
      <c r="D76" s="33">
        <v>78.4273</v>
      </c>
      <c r="E76" s="34">
        <f t="shared" si="1"/>
        <v>0</v>
      </c>
      <c r="F76" s="33">
        <v>88.87026</v>
      </c>
      <c r="G76" s="34">
        <f t="shared" si="2"/>
        <v>8.393541427</v>
      </c>
      <c r="H76" s="33">
        <v>86.09469</v>
      </c>
      <c r="I76" s="34">
        <f t="shared" si="3"/>
        <v>34.33893235</v>
      </c>
      <c r="J76" s="33">
        <v>78.4077</v>
      </c>
      <c r="K76" s="34">
        <f t="shared" si="4"/>
        <v>39.87828126</v>
      </c>
      <c r="L76" s="33">
        <v>92.03009</v>
      </c>
      <c r="M76" s="34">
        <f t="shared" si="5"/>
        <v>41.09622364</v>
      </c>
      <c r="N76" s="33">
        <v>90.90702</v>
      </c>
      <c r="O76" s="34">
        <f t="shared" si="6"/>
        <v>0</v>
      </c>
      <c r="P76" s="33">
        <v>83.76912</v>
      </c>
      <c r="Q76" s="34">
        <f t="shared" si="7"/>
        <v>18.87099307</v>
      </c>
      <c r="R76" s="33">
        <v>89.04455</v>
      </c>
      <c r="S76" s="34">
        <f t="shared" si="8"/>
        <v>1.794589346</v>
      </c>
      <c r="T76" s="33">
        <v>85.71243</v>
      </c>
      <c r="U76" s="34">
        <f t="shared" si="9"/>
        <v>19.31152587</v>
      </c>
      <c r="V76" s="33">
        <v>87.06393</v>
      </c>
      <c r="W76" s="34">
        <f t="shared" si="10"/>
        <v>12.49656506</v>
      </c>
      <c r="X76" s="33">
        <v>83.92436</v>
      </c>
      <c r="Y76" s="34">
        <f t="shared" si="11"/>
        <v>30.31276869</v>
      </c>
      <c r="Z76" s="33">
        <v>78.85068</v>
      </c>
      <c r="AA76" s="34">
        <f t="shared" si="12"/>
        <v>44.28973228</v>
      </c>
      <c r="AB76" s="33">
        <v>92.40081</v>
      </c>
      <c r="AC76" s="34">
        <f t="shared" si="13"/>
        <v>6.797334555</v>
      </c>
      <c r="AD76" s="33">
        <v>93.83461</v>
      </c>
      <c r="AE76" s="34">
        <f t="shared" si="14"/>
        <v>0</v>
      </c>
      <c r="AF76" s="33">
        <v>82.05267</v>
      </c>
      <c r="AG76" s="34">
        <f t="shared" si="15"/>
        <v>41.23530699</v>
      </c>
      <c r="AH76" s="33">
        <v>83.61154</v>
      </c>
      <c r="AI76" s="34">
        <f t="shared" si="16"/>
        <v>0</v>
      </c>
      <c r="AJ76" s="33">
        <v>86.85246</v>
      </c>
      <c r="AK76" s="34">
        <f t="shared" si="17"/>
        <v>0</v>
      </c>
      <c r="AL76" s="33">
        <v>82.98452</v>
      </c>
      <c r="AM76" s="34">
        <f t="shared" si="18"/>
        <v>35.02012618</v>
      </c>
    </row>
    <row r="77">
      <c r="A77" s="32">
        <v>45905.0</v>
      </c>
      <c r="B77" s="33">
        <v>87.98181</v>
      </c>
      <c r="C77" s="34">
        <f t="shared" si="19"/>
        <v>0</v>
      </c>
      <c r="D77" s="33">
        <v>90.1005</v>
      </c>
      <c r="E77" s="34">
        <f t="shared" si="1"/>
        <v>6.400640649</v>
      </c>
      <c r="F77" s="33">
        <v>93.36293</v>
      </c>
      <c r="G77" s="34">
        <f t="shared" si="2"/>
        <v>1.890165713</v>
      </c>
      <c r="H77" s="33">
        <v>88.13971</v>
      </c>
      <c r="I77" s="34">
        <f t="shared" si="3"/>
        <v>34.75932681</v>
      </c>
      <c r="J77" s="33">
        <v>79.86422</v>
      </c>
      <c r="K77" s="34">
        <f t="shared" si="4"/>
        <v>44.91308751</v>
      </c>
      <c r="L77" s="33">
        <v>95.33372</v>
      </c>
      <c r="M77" s="34">
        <f t="shared" si="5"/>
        <v>32.91298092</v>
      </c>
      <c r="N77" s="33">
        <v>88.54142</v>
      </c>
      <c r="O77" s="34">
        <f t="shared" si="6"/>
        <v>0</v>
      </c>
      <c r="P77" s="33">
        <v>82.68246</v>
      </c>
      <c r="Q77" s="34">
        <f t="shared" si="7"/>
        <v>20.59595283</v>
      </c>
      <c r="R77" s="33">
        <v>87.10735</v>
      </c>
      <c r="S77" s="34">
        <f t="shared" si="8"/>
        <v>0</v>
      </c>
      <c r="T77" s="33">
        <v>87.52432</v>
      </c>
      <c r="U77" s="34">
        <f t="shared" si="9"/>
        <v>19.28997484</v>
      </c>
      <c r="V77" s="33">
        <v>88.52301</v>
      </c>
      <c r="W77" s="34">
        <f t="shared" si="10"/>
        <v>11.60498632</v>
      </c>
      <c r="X77" s="33">
        <v>82.75999</v>
      </c>
      <c r="Y77" s="34">
        <f t="shared" si="11"/>
        <v>33.02930788</v>
      </c>
      <c r="Z77" s="33">
        <v>80.6001</v>
      </c>
      <c r="AA77" s="34">
        <f t="shared" si="12"/>
        <v>48.55451117</v>
      </c>
      <c r="AB77" s="33">
        <v>85.48334</v>
      </c>
      <c r="AC77" s="34">
        <f t="shared" si="13"/>
        <v>10.31192865</v>
      </c>
      <c r="AD77" s="33">
        <v>85.00175</v>
      </c>
      <c r="AE77" s="34">
        <f t="shared" si="14"/>
        <v>5.873711291</v>
      </c>
      <c r="AF77" s="33">
        <v>80.47222</v>
      </c>
      <c r="AG77" s="34">
        <f t="shared" si="15"/>
        <v>48.88019305</v>
      </c>
      <c r="AH77" s="33">
        <v>90.96219</v>
      </c>
      <c r="AI77" s="34">
        <f t="shared" si="16"/>
        <v>0</v>
      </c>
      <c r="AJ77" s="33">
        <v>85.87657</v>
      </c>
      <c r="AK77" s="34">
        <f t="shared" si="17"/>
        <v>0</v>
      </c>
      <c r="AL77" s="33">
        <v>92.86526</v>
      </c>
      <c r="AM77" s="34">
        <f t="shared" si="18"/>
        <v>29.30786753</v>
      </c>
    </row>
    <row r="78">
      <c r="A78" s="32">
        <v>45906.0</v>
      </c>
      <c r="B78" s="33">
        <v>85.43521</v>
      </c>
      <c r="C78" s="34">
        <f t="shared" si="19"/>
        <v>0</v>
      </c>
      <c r="D78" s="33">
        <v>93.515</v>
      </c>
      <c r="E78" s="34">
        <f t="shared" si="1"/>
        <v>1.128081298</v>
      </c>
      <c r="F78" s="33">
        <v>96.77944</v>
      </c>
      <c r="G78" s="34">
        <f t="shared" si="2"/>
        <v>0</v>
      </c>
      <c r="H78" s="33">
        <v>84.36964</v>
      </c>
      <c r="I78" s="34">
        <f t="shared" si="3"/>
        <v>38.94979128</v>
      </c>
      <c r="J78" s="33">
        <v>85.13614</v>
      </c>
      <c r="K78" s="34">
        <f t="shared" si="4"/>
        <v>44.67597376</v>
      </c>
      <c r="L78" s="33">
        <v>90.82255</v>
      </c>
      <c r="M78" s="34">
        <f t="shared" si="5"/>
        <v>29.24090819</v>
      </c>
      <c r="N78" s="33">
        <v>83.10262</v>
      </c>
      <c r="O78" s="34">
        <f t="shared" si="6"/>
        <v>0.4084972313</v>
      </c>
      <c r="P78" s="33">
        <v>79.93909</v>
      </c>
      <c r="Q78" s="34">
        <f t="shared" si="7"/>
        <v>25.06428259</v>
      </c>
      <c r="R78" s="33">
        <v>79.40132</v>
      </c>
      <c r="S78" s="34">
        <f t="shared" si="8"/>
        <v>5.378614836</v>
      </c>
      <c r="T78" s="33">
        <v>82.49669</v>
      </c>
      <c r="U78" s="34">
        <f t="shared" si="9"/>
        <v>24.29605381</v>
      </c>
      <c r="V78" s="33">
        <v>88.2898</v>
      </c>
      <c r="W78" s="34">
        <f t="shared" si="10"/>
        <v>10.94661758</v>
      </c>
      <c r="X78" s="33">
        <v>84.87773</v>
      </c>
      <c r="Y78" s="34">
        <f t="shared" si="11"/>
        <v>33.62810707</v>
      </c>
      <c r="Z78" s="33">
        <v>80.18011</v>
      </c>
      <c r="AA78" s="34">
        <f t="shared" si="12"/>
        <v>53.23928007</v>
      </c>
      <c r="AB78" s="33">
        <v>83.66983</v>
      </c>
      <c r="AC78" s="34">
        <f t="shared" si="13"/>
        <v>15.64003274</v>
      </c>
      <c r="AD78" s="33">
        <v>80.32208</v>
      </c>
      <c r="AE78" s="34">
        <f t="shared" si="14"/>
        <v>16.42709258</v>
      </c>
      <c r="AF78" s="33">
        <v>83.76998</v>
      </c>
      <c r="AG78" s="36">
        <f t="shared" si="15"/>
        <v>53.22731911</v>
      </c>
      <c r="AH78" s="33">
        <v>89.27131</v>
      </c>
      <c r="AI78" s="34">
        <f t="shared" si="16"/>
        <v>0</v>
      </c>
      <c r="AJ78" s="33">
        <v>87.69391</v>
      </c>
      <c r="AK78" s="34">
        <f t="shared" si="17"/>
        <v>0</v>
      </c>
      <c r="AL78" s="33">
        <v>88.7792</v>
      </c>
      <c r="AM78" s="34">
        <f t="shared" si="18"/>
        <v>27.68166888</v>
      </c>
    </row>
    <row r="79">
      <c r="A79" s="32">
        <v>45907.0</v>
      </c>
      <c r="B79" s="33">
        <v>83.3063</v>
      </c>
      <c r="C79" s="34">
        <f t="shared" si="19"/>
        <v>0</v>
      </c>
      <c r="D79" s="33">
        <v>91.97021</v>
      </c>
      <c r="E79" s="34">
        <f t="shared" si="1"/>
        <v>0</v>
      </c>
      <c r="F79" s="33">
        <v>98.243</v>
      </c>
      <c r="G79" s="34">
        <f t="shared" si="2"/>
        <v>0</v>
      </c>
      <c r="H79" s="33">
        <v>72.8362</v>
      </c>
      <c r="I79" s="36">
        <f t="shared" si="3"/>
        <v>54.67369575</v>
      </c>
      <c r="J79" s="33">
        <v>90.0818</v>
      </c>
      <c r="K79" s="34">
        <f t="shared" si="4"/>
        <v>39.49320001</v>
      </c>
      <c r="L79" s="33">
        <v>92.73321</v>
      </c>
      <c r="M79" s="34">
        <f t="shared" si="5"/>
        <v>23.65817546</v>
      </c>
      <c r="N79" s="33">
        <v>77.17758</v>
      </c>
      <c r="O79" s="34">
        <f t="shared" si="6"/>
        <v>6.742034463</v>
      </c>
      <c r="P79" s="33">
        <v>83.07213</v>
      </c>
      <c r="Q79" s="34">
        <f t="shared" si="7"/>
        <v>26.39957235</v>
      </c>
      <c r="R79" s="33">
        <v>83.28523</v>
      </c>
      <c r="S79" s="34">
        <f t="shared" si="8"/>
        <v>6.873319673</v>
      </c>
      <c r="T79" s="33">
        <v>86.57966</v>
      </c>
      <c r="U79" s="34">
        <f t="shared" si="9"/>
        <v>25.21916278</v>
      </c>
      <c r="V79" s="33">
        <v>86.61965</v>
      </c>
      <c r="W79" s="34">
        <f t="shared" si="10"/>
        <v>11.95839885</v>
      </c>
      <c r="X79" s="33">
        <v>87.35076</v>
      </c>
      <c r="Y79" s="34">
        <f t="shared" si="11"/>
        <v>31.75387626</v>
      </c>
      <c r="Z79" s="33">
        <v>84.33625</v>
      </c>
      <c r="AA79" s="34">
        <f t="shared" si="12"/>
        <v>53.76790897</v>
      </c>
      <c r="AB79" s="33">
        <v>87.73244</v>
      </c>
      <c r="AC79" s="34">
        <f t="shared" si="13"/>
        <v>16.90552683</v>
      </c>
      <c r="AD79" s="33">
        <v>76.03326</v>
      </c>
      <c r="AE79" s="34">
        <f t="shared" si="14"/>
        <v>31.26929387</v>
      </c>
      <c r="AF79" s="33">
        <v>83.45013</v>
      </c>
      <c r="AG79" s="34">
        <f t="shared" si="15"/>
        <v>57.89429517</v>
      </c>
      <c r="AH79" s="33">
        <v>88.84806</v>
      </c>
      <c r="AI79" s="34">
        <f t="shared" si="16"/>
        <v>0</v>
      </c>
      <c r="AJ79" s="33">
        <v>90.38623</v>
      </c>
      <c r="AK79" s="34">
        <f t="shared" si="17"/>
        <v>0</v>
      </c>
      <c r="AL79" s="33">
        <v>86.00578</v>
      </c>
      <c r="AM79" s="34">
        <f t="shared" si="18"/>
        <v>28.82889023</v>
      </c>
    </row>
    <row r="80">
      <c r="A80" s="32">
        <v>45908.0</v>
      </c>
      <c r="B80" s="33">
        <v>85.11516</v>
      </c>
      <c r="C80" s="34">
        <f t="shared" si="19"/>
        <v>0</v>
      </c>
      <c r="D80" s="33">
        <v>90.73642</v>
      </c>
      <c r="E80" s="34">
        <f t="shared" si="1"/>
        <v>0</v>
      </c>
      <c r="F80" s="33">
        <v>93.57308</v>
      </c>
      <c r="G80" s="34">
        <f t="shared" si="2"/>
        <v>0</v>
      </c>
      <c r="H80" s="33">
        <v>69.42415</v>
      </c>
      <c r="I80" s="34">
        <f t="shared" si="3"/>
        <v>73.80965022</v>
      </c>
      <c r="J80" s="33">
        <v>91.78016</v>
      </c>
      <c r="K80" s="34">
        <f t="shared" si="4"/>
        <v>32.61206627</v>
      </c>
      <c r="L80" s="33">
        <v>92.76845</v>
      </c>
      <c r="M80" s="34">
        <f t="shared" si="5"/>
        <v>18.04020274</v>
      </c>
      <c r="N80" s="33">
        <v>78.68301</v>
      </c>
      <c r="O80" s="34">
        <f t="shared" si="6"/>
        <v>11.57014169</v>
      </c>
      <c r="P80" s="33">
        <v>88.9044</v>
      </c>
      <c r="Q80" s="34">
        <f t="shared" si="7"/>
        <v>21.90259211</v>
      </c>
      <c r="R80" s="33">
        <v>83.00531</v>
      </c>
      <c r="S80" s="34">
        <f t="shared" si="8"/>
        <v>8.647944509</v>
      </c>
      <c r="T80" s="33">
        <v>82.62155</v>
      </c>
      <c r="U80" s="34">
        <f t="shared" si="9"/>
        <v>30.10038175</v>
      </c>
      <c r="V80" s="33">
        <v>88.07501</v>
      </c>
      <c r="W80" s="34">
        <f t="shared" si="10"/>
        <v>11.51482011</v>
      </c>
      <c r="X80" s="33">
        <v>90.42133</v>
      </c>
      <c r="Y80" s="34">
        <f t="shared" si="11"/>
        <v>26.80907546</v>
      </c>
      <c r="Z80" s="33">
        <v>85.6558</v>
      </c>
      <c r="AA80" s="34">
        <f t="shared" si="12"/>
        <v>52.97698786</v>
      </c>
      <c r="AB80" s="33">
        <v>91.79021</v>
      </c>
      <c r="AC80" s="34">
        <f t="shared" si="13"/>
        <v>14.11325093</v>
      </c>
      <c r="AD80" s="33">
        <v>72.84577</v>
      </c>
      <c r="AE80" s="34">
        <f t="shared" si="14"/>
        <v>49.29898517</v>
      </c>
      <c r="AF80" s="33">
        <v>92.08615</v>
      </c>
      <c r="AG80" s="34">
        <f t="shared" si="15"/>
        <v>53.92525123</v>
      </c>
      <c r="AH80" s="33">
        <v>88.59553</v>
      </c>
      <c r="AI80" s="34">
        <f t="shared" si="16"/>
        <v>0</v>
      </c>
      <c r="AJ80" s="33">
        <v>91.12779</v>
      </c>
      <c r="AK80" s="34">
        <f t="shared" si="17"/>
        <v>0</v>
      </c>
      <c r="AL80" s="33">
        <v>84.91011</v>
      </c>
      <c r="AM80" s="34">
        <f t="shared" si="18"/>
        <v>31.07178158</v>
      </c>
    </row>
    <row r="81">
      <c r="A81" s="32">
        <v>45909.0</v>
      </c>
      <c r="B81" s="33">
        <v>89.09103</v>
      </c>
      <c r="C81" s="34">
        <f t="shared" si="19"/>
        <v>0.9453744245</v>
      </c>
      <c r="D81" s="33">
        <v>89.96829</v>
      </c>
      <c r="E81" s="34">
        <f t="shared" si="1"/>
        <v>0</v>
      </c>
      <c r="F81" s="33">
        <v>90.29682</v>
      </c>
      <c r="G81" s="34">
        <f t="shared" si="2"/>
        <v>0</v>
      </c>
      <c r="H81" s="33">
        <v>69.26386</v>
      </c>
      <c r="I81" s="34">
        <f t="shared" si="3"/>
        <v>93.10589469</v>
      </c>
      <c r="J81" s="33">
        <v>85.20564</v>
      </c>
      <c r="K81" s="34">
        <f t="shared" si="4"/>
        <v>32.30545252</v>
      </c>
      <c r="L81" s="33">
        <v>87.59397</v>
      </c>
      <c r="M81" s="34">
        <f t="shared" si="5"/>
        <v>17.59671001</v>
      </c>
      <c r="N81" s="33">
        <v>80.7964</v>
      </c>
      <c r="O81" s="34">
        <f t="shared" si="6"/>
        <v>14.28485893</v>
      </c>
      <c r="P81" s="33">
        <v>78.73654</v>
      </c>
      <c r="Q81" s="34">
        <f t="shared" si="7"/>
        <v>27.57347188</v>
      </c>
      <c r="R81" s="33">
        <v>89.1526</v>
      </c>
      <c r="S81" s="34">
        <f t="shared" si="8"/>
        <v>4.275279346</v>
      </c>
      <c r="T81" s="33">
        <v>86.61036</v>
      </c>
      <c r="U81" s="34">
        <f t="shared" si="9"/>
        <v>30.99279071</v>
      </c>
      <c r="V81" s="33">
        <v>90.91933</v>
      </c>
      <c r="W81" s="34">
        <f t="shared" si="10"/>
        <v>8.226921377</v>
      </c>
      <c r="X81" s="33">
        <v>92.64614</v>
      </c>
      <c r="Y81" s="34">
        <f t="shared" si="11"/>
        <v>19.63946465</v>
      </c>
      <c r="Z81" s="33">
        <v>88.15304</v>
      </c>
      <c r="AA81" s="34">
        <f t="shared" si="12"/>
        <v>49.68882676</v>
      </c>
      <c r="AB81" s="33">
        <v>93.03444</v>
      </c>
      <c r="AC81" s="34">
        <f t="shared" si="13"/>
        <v>10.07674502</v>
      </c>
      <c r="AD81" s="33">
        <v>72.91695</v>
      </c>
      <c r="AE81" s="36">
        <f t="shared" si="14"/>
        <v>67.25749646</v>
      </c>
      <c r="AF81" s="33">
        <v>91.03327</v>
      </c>
      <c r="AG81" s="34">
        <f t="shared" si="15"/>
        <v>51.0090873</v>
      </c>
      <c r="AH81" s="33">
        <v>90.99746</v>
      </c>
      <c r="AI81" s="34">
        <f t="shared" si="16"/>
        <v>0</v>
      </c>
      <c r="AJ81" s="33">
        <v>86.50788</v>
      </c>
      <c r="AK81" s="34">
        <f t="shared" si="17"/>
        <v>0</v>
      </c>
      <c r="AL81" s="33">
        <v>85.37883</v>
      </c>
      <c r="AM81" s="34">
        <f t="shared" si="18"/>
        <v>32.84595293</v>
      </c>
    </row>
    <row r="82">
      <c r="A82" s="32">
        <v>45910.0</v>
      </c>
      <c r="B82" s="33">
        <v>78.76996</v>
      </c>
      <c r="C82" s="34">
        <f t="shared" si="19"/>
        <v>0.08188884898</v>
      </c>
      <c r="D82" s="33">
        <v>77.10061</v>
      </c>
      <c r="E82" s="34">
        <f t="shared" si="1"/>
        <v>0</v>
      </c>
      <c r="F82" s="33">
        <v>78.40307</v>
      </c>
      <c r="G82" s="34">
        <f t="shared" si="2"/>
        <v>8.456484285</v>
      </c>
      <c r="H82" s="33">
        <v>77.89385</v>
      </c>
      <c r="I82" s="34">
        <f t="shared" si="3"/>
        <v>103.7721492</v>
      </c>
      <c r="J82" s="33">
        <v>85.85946</v>
      </c>
      <c r="K82" s="34">
        <f t="shared" si="4"/>
        <v>31.34501877</v>
      </c>
      <c r="L82" s="33">
        <v>90.47111</v>
      </c>
      <c r="M82" s="34">
        <f t="shared" si="5"/>
        <v>14.27607729</v>
      </c>
      <c r="N82" s="33">
        <v>82.45539</v>
      </c>
      <c r="O82" s="34">
        <f t="shared" si="6"/>
        <v>15.34058616</v>
      </c>
      <c r="P82" s="33">
        <v>82.09271</v>
      </c>
      <c r="Q82" s="34">
        <f t="shared" si="7"/>
        <v>29.88818164</v>
      </c>
      <c r="R82" s="33">
        <v>86.23449</v>
      </c>
      <c r="S82" s="34">
        <f t="shared" si="8"/>
        <v>2.820724182</v>
      </c>
      <c r="T82" s="33">
        <v>83.58407</v>
      </c>
      <c r="U82" s="34">
        <f t="shared" si="9"/>
        <v>34.91148968</v>
      </c>
      <c r="V82" s="33">
        <v>90.07534</v>
      </c>
      <c r="W82" s="34">
        <f t="shared" si="10"/>
        <v>5.783012642</v>
      </c>
      <c r="X82" s="33">
        <v>90.17829</v>
      </c>
      <c r="Y82" s="34">
        <f t="shared" si="11"/>
        <v>14.93770384</v>
      </c>
      <c r="Z82" s="33">
        <v>86.32201</v>
      </c>
      <c r="AA82" s="34">
        <f t="shared" si="12"/>
        <v>48.23169566</v>
      </c>
      <c r="AB82" s="33">
        <v>92.80567</v>
      </c>
      <c r="AC82" s="34">
        <f t="shared" si="13"/>
        <v>6.26900911</v>
      </c>
      <c r="AD82" s="33">
        <v>79.1874</v>
      </c>
      <c r="AE82" s="34">
        <f t="shared" si="14"/>
        <v>78.94555775</v>
      </c>
      <c r="AF82" s="33">
        <v>85.95725</v>
      </c>
      <c r="AG82" s="34">
        <f t="shared" si="15"/>
        <v>53.16894336</v>
      </c>
      <c r="AH82" s="33">
        <v>91.85927</v>
      </c>
      <c r="AI82" s="34">
        <f t="shared" si="16"/>
        <v>0</v>
      </c>
      <c r="AJ82" s="33">
        <v>85.97693</v>
      </c>
      <c r="AK82" s="34">
        <f t="shared" si="17"/>
        <v>0</v>
      </c>
      <c r="AL82" s="33">
        <v>88.11342</v>
      </c>
      <c r="AM82" s="34">
        <f t="shared" si="18"/>
        <v>31.88553427</v>
      </c>
    </row>
    <row r="83">
      <c r="A83" s="32">
        <v>45911.0</v>
      </c>
      <c r="B83" s="33">
        <v>81.62751</v>
      </c>
      <c r="C83" s="34">
        <f t="shared" si="19"/>
        <v>0</v>
      </c>
      <c r="D83" s="33">
        <v>79.55798</v>
      </c>
      <c r="E83" s="34">
        <f t="shared" si="1"/>
        <v>7.727330649</v>
      </c>
      <c r="F83" s="33">
        <v>86.0639</v>
      </c>
      <c r="G83" s="34">
        <f t="shared" si="2"/>
        <v>9.252138571</v>
      </c>
      <c r="H83" s="33">
        <v>80.96365</v>
      </c>
      <c r="I83" s="34">
        <f t="shared" si="3"/>
        <v>111.3686036</v>
      </c>
      <c r="J83" s="33">
        <v>88.06438</v>
      </c>
      <c r="K83" s="34">
        <f t="shared" si="4"/>
        <v>28.17966502</v>
      </c>
      <c r="L83" s="33">
        <v>92.70334</v>
      </c>
      <c r="M83" s="34">
        <f t="shared" si="5"/>
        <v>8.72321456</v>
      </c>
      <c r="N83" s="33">
        <v>78.93679</v>
      </c>
      <c r="O83" s="34">
        <f t="shared" si="6"/>
        <v>19.91491339</v>
      </c>
      <c r="P83" s="33">
        <v>83.07608</v>
      </c>
      <c r="Q83" s="34">
        <f t="shared" si="7"/>
        <v>31.2195214</v>
      </c>
      <c r="R83" s="33">
        <v>84.27164</v>
      </c>
      <c r="S83" s="34">
        <f t="shared" si="8"/>
        <v>3.329019019</v>
      </c>
      <c r="T83" s="33">
        <v>84.45005</v>
      </c>
      <c r="U83" s="34">
        <f t="shared" si="9"/>
        <v>37.96420865</v>
      </c>
      <c r="V83" s="33">
        <v>88.89928</v>
      </c>
      <c r="W83" s="34">
        <f t="shared" si="10"/>
        <v>4.515163906</v>
      </c>
      <c r="X83" s="33">
        <v>87.8611</v>
      </c>
      <c r="Y83" s="34">
        <f t="shared" si="11"/>
        <v>12.55313303</v>
      </c>
      <c r="Z83" s="33">
        <v>81.57026</v>
      </c>
      <c r="AA83" s="36">
        <f t="shared" si="12"/>
        <v>51.52631455</v>
      </c>
      <c r="AB83" s="33">
        <v>92.97011</v>
      </c>
      <c r="AC83" s="34">
        <f t="shared" si="13"/>
        <v>2.296833203</v>
      </c>
      <c r="AD83" s="33">
        <v>82.13246</v>
      </c>
      <c r="AE83" s="34">
        <f t="shared" si="14"/>
        <v>87.68855904</v>
      </c>
      <c r="AF83" s="33">
        <v>84.22688</v>
      </c>
      <c r="AG83" s="34">
        <f t="shared" si="15"/>
        <v>57.05916942</v>
      </c>
      <c r="AH83" s="33">
        <v>89.68728</v>
      </c>
      <c r="AI83" s="34">
        <f t="shared" si="16"/>
        <v>0</v>
      </c>
      <c r="AJ83" s="33">
        <v>86.17031</v>
      </c>
      <c r="AK83" s="34">
        <f t="shared" si="17"/>
        <v>0</v>
      </c>
      <c r="AL83" s="33">
        <v>87.03952</v>
      </c>
      <c r="AM83" s="34">
        <f t="shared" si="18"/>
        <v>31.99901562</v>
      </c>
    </row>
    <row r="84">
      <c r="A84" s="32">
        <v>45912.0</v>
      </c>
      <c r="B84" s="33">
        <v>83.89378</v>
      </c>
      <c r="C84" s="34">
        <f t="shared" si="19"/>
        <v>5.481714424</v>
      </c>
      <c r="D84" s="33">
        <v>82.89842</v>
      </c>
      <c r="E84" s="34">
        <f t="shared" si="1"/>
        <v>12.9972913</v>
      </c>
      <c r="F84" s="33">
        <v>88.9978</v>
      </c>
      <c r="G84" s="34">
        <f t="shared" si="2"/>
        <v>7.113892856</v>
      </c>
      <c r="H84" s="33">
        <v>84.66463</v>
      </c>
      <c r="I84" s="34">
        <f t="shared" si="3"/>
        <v>115.2640781</v>
      </c>
      <c r="J84" s="33">
        <v>88.69431</v>
      </c>
      <c r="K84" s="34">
        <f t="shared" si="4"/>
        <v>24.38438127</v>
      </c>
      <c r="L84" s="33">
        <v>94.78641</v>
      </c>
      <c r="M84" s="34">
        <f t="shared" si="5"/>
        <v>1.087281833</v>
      </c>
      <c r="N84" s="33">
        <v>78.70448</v>
      </c>
      <c r="O84" s="34">
        <f t="shared" si="6"/>
        <v>24.72155062</v>
      </c>
      <c r="P84" s="33">
        <v>83.01266</v>
      </c>
      <c r="Q84" s="34">
        <f t="shared" si="7"/>
        <v>32.61428116</v>
      </c>
      <c r="R84" s="33">
        <v>82.796</v>
      </c>
      <c r="S84" s="34">
        <f t="shared" si="8"/>
        <v>5.312953855</v>
      </c>
      <c r="T84" s="33">
        <v>83.59251</v>
      </c>
      <c r="U84" s="34">
        <f t="shared" si="9"/>
        <v>41.87446762</v>
      </c>
      <c r="V84" s="33">
        <v>88.16389</v>
      </c>
      <c r="W84" s="34">
        <f t="shared" si="10"/>
        <v>3.98270517</v>
      </c>
      <c r="X84" s="33">
        <v>83.36606</v>
      </c>
      <c r="Y84" s="34">
        <f t="shared" si="11"/>
        <v>14.66360222</v>
      </c>
      <c r="Z84" s="33">
        <v>77.74437</v>
      </c>
      <c r="AA84" s="34">
        <f t="shared" si="12"/>
        <v>58.64682345</v>
      </c>
      <c r="AB84" s="33">
        <v>97.57135</v>
      </c>
      <c r="AC84" s="34">
        <f t="shared" si="13"/>
        <v>0</v>
      </c>
      <c r="AD84" s="33">
        <v>84.83063</v>
      </c>
      <c r="AE84" s="34">
        <f t="shared" si="14"/>
        <v>93.73339033</v>
      </c>
      <c r="AF84" s="33">
        <v>83.1977</v>
      </c>
      <c r="AG84" s="34">
        <f t="shared" si="15"/>
        <v>61.97857548</v>
      </c>
      <c r="AH84" s="33">
        <v>88.80922</v>
      </c>
      <c r="AI84" s="34">
        <f t="shared" si="16"/>
        <v>0</v>
      </c>
      <c r="AJ84" s="33">
        <v>88.67597</v>
      </c>
      <c r="AK84" s="34">
        <f t="shared" si="17"/>
        <v>0</v>
      </c>
      <c r="AL84" s="33">
        <v>86.21924</v>
      </c>
      <c r="AM84" s="34">
        <f t="shared" si="18"/>
        <v>32.93277697</v>
      </c>
    </row>
    <row r="85">
      <c r="A85" s="32">
        <v>45913.0</v>
      </c>
      <c r="B85" s="33">
        <v>75.33867</v>
      </c>
      <c r="C85" s="34">
        <f t="shared" si="19"/>
        <v>8.105878849</v>
      </c>
      <c r="D85" s="33">
        <v>75.70268</v>
      </c>
      <c r="E85" s="34">
        <f t="shared" si="1"/>
        <v>14.92681195</v>
      </c>
      <c r="F85" s="33">
        <v>82.33588</v>
      </c>
      <c r="G85" s="34">
        <f t="shared" si="2"/>
        <v>11.63756714</v>
      </c>
      <c r="H85" s="33">
        <v>81.40518</v>
      </c>
      <c r="I85" s="34">
        <f t="shared" si="3"/>
        <v>122.4190026</v>
      </c>
      <c r="J85" s="33">
        <v>82.35089</v>
      </c>
      <c r="K85" s="34">
        <f t="shared" si="4"/>
        <v>26.93251752</v>
      </c>
      <c r="L85" s="33">
        <v>89.72546</v>
      </c>
      <c r="M85" s="34">
        <f t="shared" si="5"/>
        <v>0</v>
      </c>
      <c r="N85" s="33">
        <v>76.22032</v>
      </c>
      <c r="O85" s="34">
        <f t="shared" si="6"/>
        <v>32.01234785</v>
      </c>
      <c r="P85" s="33">
        <v>78.84192</v>
      </c>
      <c r="Q85" s="34">
        <f t="shared" si="7"/>
        <v>38.17978092</v>
      </c>
      <c r="R85" s="33">
        <v>82.53349</v>
      </c>
      <c r="S85" s="34">
        <f t="shared" si="8"/>
        <v>7.559398691</v>
      </c>
      <c r="T85" s="33">
        <v>80.63835</v>
      </c>
      <c r="U85" s="34">
        <f t="shared" si="9"/>
        <v>48.73888659</v>
      </c>
      <c r="V85" s="33">
        <v>82.91636</v>
      </c>
      <c r="W85" s="34">
        <f t="shared" si="10"/>
        <v>8.697776434</v>
      </c>
      <c r="X85" s="33">
        <v>82.85076</v>
      </c>
      <c r="Y85" s="34">
        <f t="shared" si="11"/>
        <v>17.28937142</v>
      </c>
      <c r="Z85" s="33">
        <v>76.87634</v>
      </c>
      <c r="AA85" s="34">
        <f t="shared" si="12"/>
        <v>66.63536235</v>
      </c>
      <c r="AB85" s="33">
        <v>88.85701</v>
      </c>
      <c r="AC85" s="34">
        <f t="shared" si="13"/>
        <v>0.1409240925</v>
      </c>
      <c r="AD85" s="33">
        <v>84.4267</v>
      </c>
      <c r="AE85" s="34">
        <f t="shared" si="14"/>
        <v>100.1821516</v>
      </c>
      <c r="AF85" s="33">
        <v>80.41595</v>
      </c>
      <c r="AG85" s="34">
        <f t="shared" si="15"/>
        <v>69.67973154</v>
      </c>
      <c r="AH85" s="33">
        <v>88.85656</v>
      </c>
      <c r="AI85" s="34">
        <f t="shared" si="16"/>
        <v>0</v>
      </c>
      <c r="AJ85" s="33">
        <v>89.48818</v>
      </c>
      <c r="AK85" s="34">
        <f t="shared" si="17"/>
        <v>0</v>
      </c>
      <c r="AL85" s="33">
        <v>77.95801</v>
      </c>
      <c r="AM85" s="34">
        <f t="shared" si="18"/>
        <v>42.12776832</v>
      </c>
    </row>
    <row r="86">
      <c r="A86" s="32">
        <v>45914.0</v>
      </c>
      <c r="B86" s="33">
        <v>84.06756</v>
      </c>
      <c r="C86" s="34">
        <f t="shared" si="19"/>
        <v>8.463773273</v>
      </c>
      <c r="D86" s="33">
        <v>83.66453</v>
      </c>
      <c r="E86" s="34">
        <f t="shared" si="1"/>
        <v>24.0520726</v>
      </c>
      <c r="F86" s="33">
        <v>81.81996</v>
      </c>
      <c r="G86" s="34">
        <f t="shared" si="2"/>
        <v>16.67716143</v>
      </c>
      <c r="H86" s="33">
        <v>82.4866</v>
      </c>
      <c r="I86" s="34">
        <f t="shared" si="3"/>
        <v>128.492507</v>
      </c>
      <c r="J86" s="33">
        <v>80.38317</v>
      </c>
      <c r="K86" s="34">
        <f t="shared" si="4"/>
        <v>31.44837378</v>
      </c>
      <c r="L86" s="33">
        <v>77.77338</v>
      </c>
      <c r="M86" s="34">
        <f t="shared" si="5"/>
        <v>9.377097274</v>
      </c>
      <c r="N86" s="33">
        <v>82.31195</v>
      </c>
      <c r="O86" s="34">
        <f t="shared" si="6"/>
        <v>33.21151508</v>
      </c>
      <c r="P86" s="33">
        <v>78.18163</v>
      </c>
      <c r="Q86" s="34">
        <f t="shared" si="7"/>
        <v>44.40557068</v>
      </c>
      <c r="R86" s="33">
        <v>85.52223</v>
      </c>
      <c r="S86" s="34">
        <f t="shared" si="8"/>
        <v>6.817103528</v>
      </c>
      <c r="T86" s="33">
        <v>72.34785</v>
      </c>
      <c r="U86" s="36">
        <f t="shared" si="9"/>
        <v>63.89380555</v>
      </c>
      <c r="V86" s="33">
        <v>86.90928</v>
      </c>
      <c r="W86" s="34">
        <f t="shared" si="10"/>
        <v>9.419927698</v>
      </c>
      <c r="X86" s="33">
        <v>85.85544</v>
      </c>
      <c r="Y86" s="34">
        <f t="shared" si="11"/>
        <v>16.91046061</v>
      </c>
      <c r="Z86" s="33">
        <v>79.65135</v>
      </c>
      <c r="AA86" s="34">
        <f t="shared" si="12"/>
        <v>71.84889124</v>
      </c>
      <c r="AB86" s="33">
        <v>87.5143</v>
      </c>
      <c r="AC86" s="34">
        <f t="shared" si="13"/>
        <v>1.624558185</v>
      </c>
      <c r="AD86" s="33">
        <v>89.33909</v>
      </c>
      <c r="AE86" s="34">
        <f t="shared" si="14"/>
        <v>101.7185229</v>
      </c>
      <c r="AF86" s="33">
        <v>82.28621</v>
      </c>
      <c r="AG86" s="34">
        <f t="shared" si="15"/>
        <v>75.51062761</v>
      </c>
      <c r="AH86" s="33">
        <v>89.1409</v>
      </c>
      <c r="AI86" s="34">
        <f t="shared" si="16"/>
        <v>0</v>
      </c>
      <c r="AJ86" s="33">
        <v>87.57485</v>
      </c>
      <c r="AK86" s="34">
        <f t="shared" si="17"/>
        <v>0</v>
      </c>
      <c r="AL86" s="35">
        <v>75.10617</v>
      </c>
      <c r="AM86" s="36">
        <f t="shared" si="18"/>
        <v>54.17459967</v>
      </c>
    </row>
    <row r="87">
      <c r="A87" s="32">
        <v>45915.0</v>
      </c>
      <c r="B87" s="33">
        <v>92.92855</v>
      </c>
      <c r="C87" s="34">
        <f t="shared" si="19"/>
        <v>17.3767777</v>
      </c>
      <c r="D87" s="33">
        <v>91.12722</v>
      </c>
      <c r="E87" s="34">
        <f t="shared" si="1"/>
        <v>25.21548324</v>
      </c>
      <c r="F87" s="33">
        <v>88.92164</v>
      </c>
      <c r="G87" s="34">
        <f t="shared" si="2"/>
        <v>14.61507571</v>
      </c>
      <c r="H87" s="33">
        <v>87.40614</v>
      </c>
      <c r="I87" s="34">
        <f t="shared" si="3"/>
        <v>129.6464715</v>
      </c>
      <c r="J87" s="33">
        <v>84.38076</v>
      </c>
      <c r="K87" s="34">
        <f t="shared" si="4"/>
        <v>31.96664003</v>
      </c>
      <c r="L87" s="33">
        <v>75.4552</v>
      </c>
      <c r="M87" s="34">
        <f t="shared" si="5"/>
        <v>21.07237455</v>
      </c>
      <c r="N87" s="33">
        <v>82.88169</v>
      </c>
      <c r="O87" s="34">
        <f t="shared" si="6"/>
        <v>33.84094231</v>
      </c>
      <c r="P87" s="33">
        <v>79.37792</v>
      </c>
      <c r="Q87" s="34">
        <f t="shared" si="7"/>
        <v>49.43507044</v>
      </c>
      <c r="R87" s="33">
        <v>86.29152</v>
      </c>
      <c r="S87" s="34">
        <f t="shared" si="8"/>
        <v>5.305518364</v>
      </c>
      <c r="T87" s="33">
        <v>77.01013</v>
      </c>
      <c r="U87" s="34">
        <f t="shared" si="9"/>
        <v>74.38644452</v>
      </c>
      <c r="V87" s="33">
        <v>82.04282</v>
      </c>
      <c r="W87" s="34">
        <f t="shared" si="10"/>
        <v>15.00853896</v>
      </c>
      <c r="X87" s="33">
        <v>87.55541</v>
      </c>
      <c r="Y87" s="34">
        <f t="shared" si="11"/>
        <v>14.8315798</v>
      </c>
      <c r="Z87" s="33">
        <v>79.22029</v>
      </c>
      <c r="AA87" s="34">
        <f t="shared" si="12"/>
        <v>77.49348014</v>
      </c>
      <c r="AB87" s="33">
        <v>87.29088</v>
      </c>
      <c r="AC87" s="34">
        <f t="shared" si="13"/>
        <v>3.331612278</v>
      </c>
      <c r="AD87" s="33">
        <v>88.61774</v>
      </c>
      <c r="AE87" s="34">
        <f t="shared" si="14"/>
        <v>103.9762442</v>
      </c>
      <c r="AF87" s="33">
        <v>79.15983</v>
      </c>
      <c r="AG87" s="34">
        <f t="shared" si="15"/>
        <v>84.46790367</v>
      </c>
      <c r="AH87" s="33">
        <v>82.33125</v>
      </c>
      <c r="AI87" s="34">
        <f t="shared" si="16"/>
        <v>0</v>
      </c>
      <c r="AJ87" s="33">
        <v>81.02183</v>
      </c>
      <c r="AK87" s="34">
        <f t="shared" si="17"/>
        <v>4.427718621</v>
      </c>
      <c r="AL87" s="33">
        <v>77.94594</v>
      </c>
      <c r="AM87" s="34">
        <f t="shared" si="18"/>
        <v>63.38166102</v>
      </c>
    </row>
    <row r="88">
      <c r="A88" s="32">
        <v>45916.0</v>
      </c>
      <c r="B88" s="33">
        <v>85.66611</v>
      </c>
      <c r="C88" s="34">
        <f t="shared" si="19"/>
        <v>17.56089212</v>
      </c>
      <c r="D88" s="33">
        <v>85.93248</v>
      </c>
      <c r="E88" s="34">
        <f t="shared" si="1"/>
        <v>18.91620389</v>
      </c>
      <c r="F88" s="33">
        <v>87.81892</v>
      </c>
      <c r="G88" s="34">
        <f t="shared" si="2"/>
        <v>13.65571</v>
      </c>
      <c r="H88" s="33">
        <v>79.89506</v>
      </c>
      <c r="I88" s="34">
        <f t="shared" si="3"/>
        <v>138.311516</v>
      </c>
      <c r="J88" s="33">
        <v>77.41823</v>
      </c>
      <c r="K88" s="34">
        <f t="shared" si="4"/>
        <v>39.44743628</v>
      </c>
      <c r="L88" s="33">
        <v>85.12234</v>
      </c>
      <c r="M88" s="34">
        <f t="shared" si="5"/>
        <v>23.10051182</v>
      </c>
      <c r="N88" s="33">
        <v>79.00737</v>
      </c>
      <c r="O88" s="34">
        <f t="shared" si="6"/>
        <v>38.34468954</v>
      </c>
      <c r="P88" s="33">
        <v>72.47895</v>
      </c>
      <c r="Q88" s="36">
        <f t="shared" si="7"/>
        <v>61.3635402</v>
      </c>
      <c r="R88" s="33">
        <v>88.60589</v>
      </c>
      <c r="S88" s="34">
        <f t="shared" si="8"/>
        <v>1.479563201</v>
      </c>
      <c r="T88" s="33">
        <v>78.38509</v>
      </c>
      <c r="U88" s="34">
        <f t="shared" si="9"/>
        <v>83.50412349</v>
      </c>
      <c r="V88" s="33">
        <v>80.01145</v>
      </c>
      <c r="W88" s="34">
        <f t="shared" si="10"/>
        <v>22.62852023</v>
      </c>
      <c r="X88" s="33">
        <v>79.05626</v>
      </c>
      <c r="Y88" s="34">
        <f t="shared" si="11"/>
        <v>21.25184899</v>
      </c>
      <c r="Z88" s="33">
        <v>78.24281</v>
      </c>
      <c r="AA88" s="34">
        <f t="shared" si="12"/>
        <v>84.11554904</v>
      </c>
      <c r="AB88" s="33">
        <v>89.7533</v>
      </c>
      <c r="AC88" s="34">
        <f t="shared" si="13"/>
        <v>2.57624637</v>
      </c>
      <c r="AD88" s="33">
        <v>85.9527</v>
      </c>
      <c r="AE88" s="34">
        <f t="shared" si="14"/>
        <v>108.8990055</v>
      </c>
      <c r="AF88" s="33">
        <v>81.0077</v>
      </c>
      <c r="AG88" s="34">
        <f t="shared" si="15"/>
        <v>91.57730973</v>
      </c>
      <c r="AH88" s="33">
        <v>79.49633</v>
      </c>
      <c r="AI88" s="34">
        <f t="shared" si="16"/>
        <v>2.434715089</v>
      </c>
      <c r="AJ88" s="33">
        <v>78.06748</v>
      </c>
      <c r="AK88" s="34">
        <f t="shared" si="17"/>
        <v>11.80978724</v>
      </c>
      <c r="AL88" s="33">
        <v>78.92122</v>
      </c>
      <c r="AM88" s="34">
        <f t="shared" si="18"/>
        <v>71.61344236</v>
      </c>
    </row>
    <row r="89">
      <c r="A89" s="32">
        <v>45917.0</v>
      </c>
      <c r="B89" s="33">
        <v>87.2615</v>
      </c>
      <c r="C89" s="34">
        <f t="shared" si="19"/>
        <v>8.884016547</v>
      </c>
      <c r="D89" s="33">
        <v>87.43747</v>
      </c>
      <c r="E89" s="34">
        <f t="shared" si="1"/>
        <v>17.81166454</v>
      </c>
      <c r="F89" s="33">
        <v>82.91894</v>
      </c>
      <c r="G89" s="34">
        <f t="shared" si="2"/>
        <v>17.59632428</v>
      </c>
      <c r="H89" s="33">
        <v>77.30454</v>
      </c>
      <c r="I89" s="34">
        <f t="shared" si="3"/>
        <v>149.5670804</v>
      </c>
      <c r="J89" s="33">
        <v>77.91223</v>
      </c>
      <c r="K89" s="34">
        <f t="shared" si="4"/>
        <v>46.43423253</v>
      </c>
      <c r="L89" s="33">
        <v>88.5376</v>
      </c>
      <c r="M89" s="34">
        <f t="shared" si="5"/>
        <v>21.7133891</v>
      </c>
      <c r="N89" s="33">
        <v>80.69077</v>
      </c>
      <c r="O89" s="34">
        <f t="shared" si="6"/>
        <v>41.16503678</v>
      </c>
      <c r="P89" s="33">
        <v>74.15518</v>
      </c>
      <c r="Q89" s="34">
        <f t="shared" si="7"/>
        <v>71.61577996</v>
      </c>
      <c r="R89" s="33">
        <v>88.9189</v>
      </c>
      <c r="S89" s="34">
        <f t="shared" si="8"/>
        <v>0</v>
      </c>
      <c r="T89" s="33">
        <v>81.65954</v>
      </c>
      <c r="U89" s="34">
        <f t="shared" si="9"/>
        <v>89.34735246</v>
      </c>
      <c r="V89" s="33">
        <v>77.31345</v>
      </c>
      <c r="W89" s="34">
        <f t="shared" si="10"/>
        <v>32.94650149</v>
      </c>
      <c r="X89" s="33">
        <v>80.62885</v>
      </c>
      <c r="Y89" s="34">
        <f t="shared" si="11"/>
        <v>26.09952818</v>
      </c>
      <c r="Z89" s="33">
        <v>79.01275</v>
      </c>
      <c r="AA89" s="34">
        <f t="shared" si="12"/>
        <v>89.96767794</v>
      </c>
      <c r="AB89" s="33">
        <v>85.47253</v>
      </c>
      <c r="AC89" s="34">
        <f t="shared" si="13"/>
        <v>6.101650463</v>
      </c>
      <c r="AD89" s="33">
        <v>75.12349</v>
      </c>
      <c r="AE89" s="34">
        <f t="shared" si="14"/>
        <v>124.6509768</v>
      </c>
      <c r="AF89" s="33">
        <v>86.47801</v>
      </c>
      <c r="AG89" s="34">
        <f t="shared" si="15"/>
        <v>93.21640579</v>
      </c>
      <c r="AH89" s="33">
        <v>86.15517</v>
      </c>
      <c r="AI89" s="34">
        <f t="shared" si="16"/>
        <v>0</v>
      </c>
      <c r="AJ89" s="33">
        <v>80.15983</v>
      </c>
      <c r="AK89" s="34">
        <f t="shared" si="17"/>
        <v>17.09950586</v>
      </c>
      <c r="AL89" s="33">
        <v>75.37866</v>
      </c>
      <c r="AM89" s="34">
        <f t="shared" si="18"/>
        <v>83.38778371</v>
      </c>
    </row>
    <row r="90">
      <c r="A90" s="32">
        <v>45918.0</v>
      </c>
      <c r="B90" s="33">
        <v>85.11624</v>
      </c>
      <c r="C90" s="34">
        <f t="shared" si="19"/>
        <v>7.469580971</v>
      </c>
      <c r="D90" s="33">
        <v>83.22346</v>
      </c>
      <c r="E90" s="34">
        <f t="shared" si="1"/>
        <v>15.20213519</v>
      </c>
      <c r="F90" s="33">
        <v>77.55913</v>
      </c>
      <c r="G90" s="34">
        <f t="shared" si="2"/>
        <v>26.89674857</v>
      </c>
      <c r="H90" s="33">
        <v>71.71453</v>
      </c>
      <c r="I90" s="34">
        <f t="shared" si="3"/>
        <v>166.4126549</v>
      </c>
      <c r="J90" s="33">
        <v>78.3928</v>
      </c>
      <c r="K90" s="36">
        <f t="shared" si="4"/>
        <v>52.94045878</v>
      </c>
      <c r="L90" s="33">
        <v>85.19768</v>
      </c>
      <c r="M90" s="34">
        <f t="shared" si="5"/>
        <v>23.66618637</v>
      </c>
      <c r="N90" s="33">
        <v>78.88122</v>
      </c>
      <c r="O90" s="34">
        <f t="shared" si="6"/>
        <v>45.79493401</v>
      </c>
      <c r="P90" s="33">
        <v>76.38821</v>
      </c>
      <c r="Q90" s="34">
        <f t="shared" si="7"/>
        <v>79.63498972</v>
      </c>
      <c r="R90" s="33">
        <v>84.6739</v>
      </c>
      <c r="S90" s="34">
        <f t="shared" si="8"/>
        <v>0.1060348364</v>
      </c>
      <c r="T90" s="33">
        <v>82.87488</v>
      </c>
      <c r="U90" s="34">
        <f t="shared" si="9"/>
        <v>93.97524143</v>
      </c>
      <c r="V90" s="33">
        <v>76.51702</v>
      </c>
      <c r="W90" s="34">
        <f t="shared" si="10"/>
        <v>44.06091275</v>
      </c>
      <c r="X90" s="33">
        <v>72.07161</v>
      </c>
      <c r="Y90" s="34">
        <f t="shared" si="11"/>
        <v>39.50444738</v>
      </c>
      <c r="Z90" s="33">
        <v>78.7333</v>
      </c>
      <c r="AA90" s="34">
        <f t="shared" si="12"/>
        <v>96.09925683</v>
      </c>
      <c r="AB90" s="33">
        <v>97.00771</v>
      </c>
      <c r="AC90" s="34">
        <f t="shared" si="13"/>
        <v>0</v>
      </c>
      <c r="AD90" s="33">
        <v>80.05667</v>
      </c>
      <c r="AE90" s="34">
        <f t="shared" si="14"/>
        <v>135.4697681</v>
      </c>
      <c r="AF90" s="33">
        <v>85.08115</v>
      </c>
      <c r="AG90" s="34">
        <f t="shared" si="15"/>
        <v>96.25236185</v>
      </c>
      <c r="AH90" s="33">
        <v>81.77621</v>
      </c>
      <c r="AI90" s="34">
        <f t="shared" si="16"/>
        <v>0.1548350886</v>
      </c>
      <c r="AJ90" s="33">
        <v>85.08716</v>
      </c>
      <c r="AK90" s="34">
        <f t="shared" si="17"/>
        <v>17.46189448</v>
      </c>
      <c r="AL90" s="33">
        <v>80.22822</v>
      </c>
      <c r="AM90" s="34">
        <f t="shared" si="18"/>
        <v>90.31256506</v>
      </c>
    </row>
    <row r="91">
      <c r="A91" s="32">
        <v>45919.0</v>
      </c>
      <c r="B91" s="33">
        <v>88.07513</v>
      </c>
      <c r="C91" s="34">
        <f t="shared" si="19"/>
        <v>4.459755396</v>
      </c>
      <c r="D91" s="33">
        <v>83.47593</v>
      </c>
      <c r="E91" s="34">
        <f t="shared" si="1"/>
        <v>16.80661584</v>
      </c>
      <c r="F91" s="33">
        <v>81.07906</v>
      </c>
      <c r="G91" s="34">
        <f t="shared" si="2"/>
        <v>32.67724285</v>
      </c>
      <c r="H91" s="33">
        <v>71.76782</v>
      </c>
      <c r="I91" s="34">
        <f t="shared" si="3"/>
        <v>183.2049394</v>
      </c>
      <c r="J91" s="33">
        <v>81.63803</v>
      </c>
      <c r="K91" s="34">
        <f t="shared" si="4"/>
        <v>56.20145503</v>
      </c>
      <c r="L91" s="33">
        <v>83.46899</v>
      </c>
      <c r="M91" s="34">
        <f t="shared" si="5"/>
        <v>27.34767364</v>
      </c>
      <c r="N91" s="33">
        <v>81.48241</v>
      </c>
      <c r="O91" s="34">
        <f t="shared" si="6"/>
        <v>47.82364124</v>
      </c>
      <c r="P91" s="33">
        <v>79.39977</v>
      </c>
      <c r="Q91" s="34">
        <f t="shared" si="7"/>
        <v>84.64263949</v>
      </c>
      <c r="R91" s="33">
        <v>87.30813</v>
      </c>
      <c r="S91" s="34">
        <f t="shared" si="8"/>
        <v>0</v>
      </c>
      <c r="T91" s="33">
        <v>84.58088</v>
      </c>
      <c r="U91" s="34">
        <f t="shared" si="9"/>
        <v>96.8971304</v>
      </c>
      <c r="V91" s="33">
        <v>76.82767</v>
      </c>
      <c r="W91" s="36">
        <f t="shared" si="10"/>
        <v>54.86467402</v>
      </c>
      <c r="X91" s="33">
        <v>77.87367</v>
      </c>
      <c r="Y91" s="34">
        <f t="shared" si="11"/>
        <v>47.10730657</v>
      </c>
      <c r="Z91" s="33">
        <v>77.36897</v>
      </c>
      <c r="AA91" s="34">
        <f t="shared" si="12"/>
        <v>103.5951657</v>
      </c>
      <c r="AB91" s="33">
        <v>91.17496</v>
      </c>
      <c r="AC91" s="34">
        <f t="shared" si="13"/>
        <v>0</v>
      </c>
      <c r="AD91" s="33">
        <v>75.87606</v>
      </c>
      <c r="AE91" s="34">
        <f t="shared" si="14"/>
        <v>150.4691694</v>
      </c>
      <c r="AF91" s="33">
        <v>79.7865</v>
      </c>
      <c r="AG91" s="34">
        <f t="shared" si="15"/>
        <v>104.5829679</v>
      </c>
      <c r="AH91" s="33">
        <v>79.55007</v>
      </c>
      <c r="AI91" s="34">
        <f t="shared" si="16"/>
        <v>2.535810177</v>
      </c>
      <c r="AJ91" s="33">
        <v>87.04177</v>
      </c>
      <c r="AK91" s="34">
        <f t="shared" si="17"/>
        <v>15.8696731</v>
      </c>
      <c r="AL91" s="33">
        <v>83.44706</v>
      </c>
      <c r="AM91" s="34">
        <f t="shared" si="18"/>
        <v>94.01850641</v>
      </c>
    </row>
    <row r="92">
      <c r="A92" s="32">
        <v>45920.0</v>
      </c>
      <c r="B92" s="33">
        <v>90.07746</v>
      </c>
      <c r="C92" s="34">
        <f t="shared" si="19"/>
        <v>3.59518982</v>
      </c>
      <c r="D92" s="33">
        <v>81.66998</v>
      </c>
      <c r="E92" s="34">
        <f t="shared" si="1"/>
        <v>18.15862649</v>
      </c>
      <c r="F92" s="33">
        <v>81.00252</v>
      </c>
      <c r="G92" s="34">
        <f t="shared" si="2"/>
        <v>38.53427714</v>
      </c>
      <c r="H92" s="33">
        <v>78.83862</v>
      </c>
      <c r="I92" s="34">
        <f t="shared" si="3"/>
        <v>192.9264239</v>
      </c>
      <c r="J92" s="33">
        <v>79.99981</v>
      </c>
      <c r="K92" s="34">
        <f t="shared" si="4"/>
        <v>61.10067129</v>
      </c>
      <c r="L92" s="33">
        <v>80.06874</v>
      </c>
      <c r="M92" s="34">
        <f t="shared" si="5"/>
        <v>34.42941092</v>
      </c>
      <c r="N92" s="33">
        <v>84.03036</v>
      </c>
      <c r="O92" s="34">
        <f t="shared" si="6"/>
        <v>47.30439847</v>
      </c>
      <c r="P92" s="33">
        <v>79.45383</v>
      </c>
      <c r="Q92" s="34">
        <f t="shared" si="7"/>
        <v>89.59622925</v>
      </c>
      <c r="R92" s="33">
        <v>88.99672</v>
      </c>
      <c r="S92" s="34">
        <f t="shared" si="8"/>
        <v>0</v>
      </c>
      <c r="T92" s="33">
        <v>80.44307</v>
      </c>
      <c r="U92" s="34">
        <f t="shared" si="9"/>
        <v>103.9568294</v>
      </c>
      <c r="V92" s="33">
        <v>79.40404</v>
      </c>
      <c r="W92" s="34">
        <f t="shared" si="10"/>
        <v>63.09206528</v>
      </c>
      <c r="X92" s="33">
        <v>78.34013</v>
      </c>
      <c r="Y92" s="36">
        <f t="shared" si="11"/>
        <v>54.24370576</v>
      </c>
      <c r="Z92" s="33">
        <v>73.01931</v>
      </c>
      <c r="AA92" s="34">
        <f t="shared" si="12"/>
        <v>115.4407346</v>
      </c>
      <c r="AB92" s="33">
        <v>92.00133</v>
      </c>
      <c r="AC92" s="34">
        <f t="shared" si="13"/>
        <v>0</v>
      </c>
      <c r="AD92" s="33">
        <v>77.57211</v>
      </c>
      <c r="AE92" s="34">
        <f t="shared" si="14"/>
        <v>163.7725207</v>
      </c>
      <c r="AF92" s="33">
        <v>82.24143</v>
      </c>
      <c r="AG92" s="34">
        <f t="shared" si="15"/>
        <v>110.458644</v>
      </c>
      <c r="AH92" s="33">
        <v>83.20106</v>
      </c>
      <c r="AI92" s="34">
        <f t="shared" si="16"/>
        <v>1.265795266</v>
      </c>
      <c r="AJ92" s="33">
        <v>85.39065</v>
      </c>
      <c r="AK92" s="34">
        <f t="shared" si="17"/>
        <v>15.92857172</v>
      </c>
      <c r="AL92" s="33">
        <v>86.29334</v>
      </c>
      <c r="AM92" s="34">
        <f t="shared" si="18"/>
        <v>94.87816776</v>
      </c>
    </row>
    <row r="93">
      <c r="A93" s="32">
        <v>45921.0</v>
      </c>
      <c r="B93" s="33">
        <v>92.34346</v>
      </c>
      <c r="C93" s="34">
        <f t="shared" si="19"/>
        <v>0</v>
      </c>
      <c r="D93" s="33">
        <v>79.14954</v>
      </c>
      <c r="E93" s="34">
        <f t="shared" si="1"/>
        <v>21.31658714</v>
      </c>
      <c r="F93" s="33">
        <v>70.20221</v>
      </c>
      <c r="G93" s="36">
        <f t="shared" si="2"/>
        <v>55.19162143</v>
      </c>
      <c r="H93" s="33">
        <v>86.64563</v>
      </c>
      <c r="I93" s="34">
        <f t="shared" si="3"/>
        <v>194.8408983</v>
      </c>
      <c r="J93" s="33">
        <v>81.285</v>
      </c>
      <c r="K93" s="34">
        <f t="shared" si="4"/>
        <v>64.71469754</v>
      </c>
      <c r="L93" s="33">
        <v>82.78186</v>
      </c>
      <c r="M93" s="34">
        <f t="shared" si="5"/>
        <v>38.79802819</v>
      </c>
      <c r="N93" s="33">
        <v>83.78757</v>
      </c>
      <c r="O93" s="34">
        <f t="shared" si="6"/>
        <v>47.0279457</v>
      </c>
      <c r="P93" s="33">
        <v>71.9741</v>
      </c>
      <c r="Q93" s="34">
        <f t="shared" si="7"/>
        <v>102.029549</v>
      </c>
      <c r="R93" s="33">
        <v>88.45413</v>
      </c>
      <c r="S93" s="34">
        <f t="shared" si="8"/>
        <v>0</v>
      </c>
      <c r="T93" s="33">
        <v>74.43183</v>
      </c>
      <c r="U93" s="34">
        <f t="shared" si="9"/>
        <v>117.0277683</v>
      </c>
      <c r="V93" s="33">
        <v>81.06471</v>
      </c>
      <c r="W93" s="34">
        <f t="shared" si="10"/>
        <v>69.65878655</v>
      </c>
      <c r="X93" s="33">
        <v>78.39499</v>
      </c>
      <c r="Y93" s="34">
        <f t="shared" si="11"/>
        <v>61.32524495</v>
      </c>
      <c r="Z93" s="33">
        <v>77.05498</v>
      </c>
      <c r="AA93" s="34">
        <f t="shared" si="12"/>
        <v>123.2506335</v>
      </c>
      <c r="AB93" s="33">
        <v>92.12646</v>
      </c>
      <c r="AC93" s="34">
        <f t="shared" si="13"/>
        <v>0</v>
      </c>
      <c r="AD93" s="33">
        <v>77.74271</v>
      </c>
      <c r="AE93" s="34">
        <f t="shared" si="14"/>
        <v>176.905272</v>
      </c>
      <c r="AF93" s="33">
        <v>78.15309</v>
      </c>
      <c r="AG93" s="34">
        <f t="shared" si="15"/>
        <v>120.42266</v>
      </c>
      <c r="AH93" s="33">
        <v>85.2422</v>
      </c>
      <c r="AI93" s="34">
        <f t="shared" si="16"/>
        <v>0</v>
      </c>
      <c r="AJ93" s="33">
        <v>80.81587</v>
      </c>
      <c r="AK93" s="34">
        <f t="shared" si="17"/>
        <v>20.56225034</v>
      </c>
      <c r="AL93" s="33">
        <v>86.90409</v>
      </c>
      <c r="AM93" s="34">
        <f t="shared" si="18"/>
        <v>95.12707911</v>
      </c>
    </row>
    <row r="94">
      <c r="A94" s="32">
        <v>45922.0</v>
      </c>
      <c r="B94" s="33">
        <v>93.21829</v>
      </c>
      <c r="C94" s="34">
        <f t="shared" si="19"/>
        <v>0</v>
      </c>
      <c r="D94" s="33">
        <v>79.91002</v>
      </c>
      <c r="E94" s="34">
        <f t="shared" si="1"/>
        <v>26.99498779</v>
      </c>
      <c r="F94" s="33">
        <v>76.00382</v>
      </c>
      <c r="G94" s="34">
        <f t="shared" si="2"/>
        <v>66.04735571</v>
      </c>
      <c r="H94" s="33">
        <v>77.54399</v>
      </c>
      <c r="I94" s="34">
        <f t="shared" si="3"/>
        <v>205.8570128</v>
      </c>
      <c r="J94" s="33">
        <v>82.757</v>
      </c>
      <c r="K94" s="34">
        <f t="shared" si="4"/>
        <v>66.85672379</v>
      </c>
      <c r="L94" s="33">
        <v>81.84227</v>
      </c>
      <c r="M94" s="34">
        <f t="shared" si="5"/>
        <v>44.10623546</v>
      </c>
      <c r="N94" s="33">
        <v>79.5776</v>
      </c>
      <c r="O94" s="36">
        <f t="shared" si="6"/>
        <v>50.96146293</v>
      </c>
      <c r="P94" s="33">
        <v>70.35528</v>
      </c>
      <c r="Q94" s="34">
        <f t="shared" si="7"/>
        <v>116.0816888</v>
      </c>
      <c r="R94" s="33">
        <v>87.2586</v>
      </c>
      <c r="S94" s="34">
        <f t="shared" si="8"/>
        <v>0</v>
      </c>
      <c r="T94" s="33">
        <v>71.99607</v>
      </c>
      <c r="U94" s="34">
        <f t="shared" si="9"/>
        <v>132.5344673</v>
      </c>
      <c r="V94" s="33">
        <v>78.22561</v>
      </c>
      <c r="W94" s="34">
        <f t="shared" si="10"/>
        <v>79.06460781</v>
      </c>
      <c r="X94" s="33">
        <v>77.63297</v>
      </c>
      <c r="Y94" s="34">
        <f t="shared" si="11"/>
        <v>69.16880414</v>
      </c>
      <c r="Z94" s="33">
        <v>81.89035</v>
      </c>
      <c r="AA94" s="34">
        <f t="shared" si="12"/>
        <v>126.2251624</v>
      </c>
      <c r="AB94" s="33">
        <v>97.6105</v>
      </c>
      <c r="AC94" s="34">
        <f t="shared" si="13"/>
        <v>0</v>
      </c>
      <c r="AD94" s="33">
        <v>84.98907</v>
      </c>
      <c r="AE94" s="34">
        <f t="shared" si="14"/>
        <v>182.7916632</v>
      </c>
      <c r="AF94" s="33">
        <v>81.6619</v>
      </c>
      <c r="AG94" s="34">
        <f t="shared" si="15"/>
        <v>126.8778661</v>
      </c>
      <c r="AH94" s="33">
        <v>75.81241</v>
      </c>
      <c r="AI94" s="34">
        <f t="shared" si="16"/>
        <v>6.118635089</v>
      </c>
      <c r="AJ94" s="33">
        <v>87.46992</v>
      </c>
      <c r="AK94" s="34">
        <f t="shared" si="17"/>
        <v>18.54187896</v>
      </c>
      <c r="AL94" s="33">
        <v>80.45484</v>
      </c>
      <c r="AM94" s="34">
        <f t="shared" si="18"/>
        <v>101.8252405</v>
      </c>
    </row>
    <row r="95">
      <c r="A95" s="32">
        <v>45923.0</v>
      </c>
      <c r="B95" s="33">
        <v>80.89773</v>
      </c>
      <c r="C95" s="34">
        <f t="shared" si="19"/>
        <v>0</v>
      </c>
      <c r="D95" s="33">
        <v>93.01301</v>
      </c>
      <c r="E95" s="34">
        <f t="shared" si="1"/>
        <v>31.91290843</v>
      </c>
      <c r="F95" s="33">
        <v>77.49014</v>
      </c>
      <c r="G95" s="34">
        <f t="shared" si="2"/>
        <v>75.41677</v>
      </c>
      <c r="H95" s="33">
        <v>78.99378</v>
      </c>
      <c r="I95" s="34">
        <f t="shared" si="3"/>
        <v>215.4233373</v>
      </c>
      <c r="J95" s="33">
        <v>91.40268</v>
      </c>
      <c r="K95" s="34">
        <f t="shared" si="4"/>
        <v>60.35307004</v>
      </c>
      <c r="L95" s="33">
        <v>82.86289</v>
      </c>
      <c r="M95" s="34">
        <f t="shared" si="5"/>
        <v>48.39382274</v>
      </c>
      <c r="N95" s="33">
        <v>81.6159</v>
      </c>
      <c r="O95" s="34">
        <f t="shared" si="6"/>
        <v>52.85668016</v>
      </c>
      <c r="P95" s="33">
        <v>82.63439</v>
      </c>
      <c r="Q95" s="34">
        <f t="shared" si="7"/>
        <v>117.8547185</v>
      </c>
      <c r="R95" s="33">
        <v>90.57666</v>
      </c>
      <c r="S95" s="34">
        <f t="shared" si="8"/>
        <v>0</v>
      </c>
      <c r="T95" s="33">
        <v>82.26846</v>
      </c>
      <c r="U95" s="34">
        <f t="shared" si="9"/>
        <v>137.7687763</v>
      </c>
      <c r="V95" s="33">
        <v>85.69583</v>
      </c>
      <c r="W95" s="34">
        <f t="shared" si="10"/>
        <v>81.00020908</v>
      </c>
      <c r="X95" s="33">
        <v>81.95554</v>
      </c>
      <c r="Y95" s="34">
        <f t="shared" si="11"/>
        <v>72.68979334</v>
      </c>
      <c r="Z95" s="33">
        <v>82.05959</v>
      </c>
      <c r="AA95" s="34">
        <f t="shared" si="12"/>
        <v>129.0304513</v>
      </c>
      <c r="AB95" s="33">
        <v>92.42864</v>
      </c>
      <c r="AC95" s="34">
        <f t="shared" si="13"/>
        <v>0</v>
      </c>
      <c r="AD95" s="33">
        <v>81.10361</v>
      </c>
      <c r="AE95" s="34">
        <f t="shared" si="14"/>
        <v>192.5635145</v>
      </c>
      <c r="AF95" s="33">
        <v>86.06148</v>
      </c>
      <c r="AG95" s="34">
        <f t="shared" si="15"/>
        <v>128.9334922</v>
      </c>
      <c r="AH95" s="33">
        <v>78.57122</v>
      </c>
      <c r="AI95" s="34">
        <f t="shared" si="16"/>
        <v>9.478460177</v>
      </c>
      <c r="AJ95" s="33">
        <v>81.93816</v>
      </c>
      <c r="AK95" s="34">
        <f t="shared" si="17"/>
        <v>22.05326759</v>
      </c>
      <c r="AL95" s="33">
        <v>75.70672</v>
      </c>
      <c r="AM95" s="34">
        <f t="shared" si="18"/>
        <v>113.2715218</v>
      </c>
    </row>
    <row r="96">
      <c r="A96" s="32">
        <v>45924.0</v>
      </c>
      <c r="B96" s="33">
        <v>80.34056</v>
      </c>
      <c r="C96" s="34">
        <f t="shared" si="19"/>
        <v>0</v>
      </c>
      <c r="D96" s="33">
        <v>87.63267</v>
      </c>
      <c r="E96" s="34">
        <f t="shared" si="1"/>
        <v>23.72783908</v>
      </c>
      <c r="F96" s="33">
        <v>76.92591</v>
      </c>
      <c r="G96" s="34">
        <f t="shared" si="2"/>
        <v>85.35041428</v>
      </c>
      <c r="H96" s="33">
        <v>82.15672</v>
      </c>
      <c r="I96" s="34">
        <f t="shared" si="3"/>
        <v>221.8267217</v>
      </c>
      <c r="J96" s="33">
        <v>90.9555</v>
      </c>
      <c r="K96" s="34">
        <f t="shared" si="4"/>
        <v>54.29659629</v>
      </c>
      <c r="L96" s="33">
        <v>80.16571</v>
      </c>
      <c r="M96" s="36">
        <f t="shared" si="5"/>
        <v>55.37859001</v>
      </c>
      <c r="N96" s="33">
        <v>77.74724</v>
      </c>
      <c r="O96" s="34">
        <f t="shared" si="6"/>
        <v>58.6205574</v>
      </c>
      <c r="P96" s="33">
        <v>80.68313</v>
      </c>
      <c r="Q96" s="34">
        <f t="shared" si="7"/>
        <v>121.5790083</v>
      </c>
      <c r="R96" s="33">
        <v>85.34793</v>
      </c>
      <c r="S96" s="34">
        <f t="shared" si="8"/>
        <v>0</v>
      </c>
      <c r="T96" s="33">
        <v>83.18997</v>
      </c>
      <c r="U96" s="34">
        <f t="shared" si="9"/>
        <v>142.0815752</v>
      </c>
      <c r="V96" s="33">
        <v>81.74976</v>
      </c>
      <c r="W96" s="34">
        <f t="shared" si="10"/>
        <v>86.88188034</v>
      </c>
      <c r="X96" s="33">
        <v>81.92726</v>
      </c>
      <c r="Y96" s="34">
        <f t="shared" si="11"/>
        <v>76.23906253</v>
      </c>
      <c r="Z96" s="33">
        <v>81.7825</v>
      </c>
      <c r="AA96" s="34">
        <f t="shared" si="12"/>
        <v>132.1128302</v>
      </c>
      <c r="AB96" s="33">
        <v>91.06768</v>
      </c>
      <c r="AC96" s="34">
        <f t="shared" si="13"/>
        <v>0</v>
      </c>
      <c r="AD96" s="33">
        <v>81.5936</v>
      </c>
      <c r="AE96" s="34">
        <f t="shared" si="14"/>
        <v>201.8453758</v>
      </c>
      <c r="AF96" s="33">
        <v>81.63635</v>
      </c>
      <c r="AG96" s="34">
        <f t="shared" si="15"/>
        <v>135.4142482</v>
      </c>
      <c r="AH96" s="33">
        <v>80.06048</v>
      </c>
      <c r="AI96" s="34">
        <f t="shared" si="16"/>
        <v>11.34902527</v>
      </c>
      <c r="AJ96" s="33">
        <v>75.25149</v>
      </c>
      <c r="AK96" s="34">
        <f t="shared" si="17"/>
        <v>32.25132621</v>
      </c>
      <c r="AL96" s="33">
        <v>77.41148</v>
      </c>
      <c r="AM96" s="34">
        <f t="shared" si="18"/>
        <v>123.0130432</v>
      </c>
    </row>
    <row r="97">
      <c r="A97" s="32">
        <v>45925.0</v>
      </c>
      <c r="B97" s="33">
        <v>84.39254</v>
      </c>
      <c r="C97" s="34">
        <f t="shared" si="19"/>
        <v>3.353944424</v>
      </c>
      <c r="D97" s="33">
        <v>81.95662</v>
      </c>
      <c r="E97" s="34">
        <f t="shared" si="1"/>
        <v>20.92310973</v>
      </c>
      <c r="F97" s="33">
        <v>77.7583</v>
      </c>
      <c r="G97" s="34">
        <f t="shared" si="2"/>
        <v>94.45166857</v>
      </c>
      <c r="H97" s="33">
        <v>83.95663</v>
      </c>
      <c r="I97" s="34">
        <f t="shared" si="3"/>
        <v>226.4301962</v>
      </c>
      <c r="J97" s="33">
        <v>76.21824</v>
      </c>
      <c r="K97" s="34">
        <f t="shared" si="4"/>
        <v>62.97738254</v>
      </c>
      <c r="L97" s="33">
        <v>77.69103</v>
      </c>
      <c r="M97" s="34">
        <f t="shared" si="5"/>
        <v>64.83803729</v>
      </c>
      <c r="N97" s="33">
        <v>81.17573</v>
      </c>
      <c r="O97" s="34">
        <f t="shared" si="6"/>
        <v>60.95594463</v>
      </c>
      <c r="P97" s="33">
        <v>83.19042</v>
      </c>
      <c r="Q97" s="34">
        <f t="shared" si="7"/>
        <v>122.7960081</v>
      </c>
      <c r="R97" s="33">
        <v>87.99513</v>
      </c>
      <c r="S97" s="34">
        <f t="shared" si="8"/>
        <v>0</v>
      </c>
      <c r="T97" s="33">
        <v>83.42355</v>
      </c>
      <c r="U97" s="34">
        <f t="shared" si="9"/>
        <v>146.1607942</v>
      </c>
      <c r="V97" s="33">
        <v>84.28531</v>
      </c>
      <c r="W97" s="34">
        <f t="shared" si="10"/>
        <v>90.2280016</v>
      </c>
      <c r="X97" s="33">
        <v>76.1133</v>
      </c>
      <c r="Y97" s="34">
        <f t="shared" si="11"/>
        <v>85.60229172</v>
      </c>
      <c r="Z97" s="33">
        <v>82.76998</v>
      </c>
      <c r="AA97" s="34">
        <f t="shared" si="12"/>
        <v>134.2077291</v>
      </c>
      <c r="AB97" s="33">
        <v>88.11469</v>
      </c>
      <c r="AC97" s="34">
        <f t="shared" si="13"/>
        <v>0.8832440925</v>
      </c>
      <c r="AD97" s="33">
        <v>82.6214</v>
      </c>
      <c r="AE97" s="34">
        <f t="shared" si="14"/>
        <v>210.0994371</v>
      </c>
      <c r="AF97" s="33">
        <v>81.04461</v>
      </c>
      <c r="AG97" s="34">
        <f t="shared" si="15"/>
        <v>142.4867443</v>
      </c>
      <c r="AH97" s="33">
        <v>76.85546</v>
      </c>
      <c r="AI97" s="34">
        <f t="shared" si="16"/>
        <v>16.42461035</v>
      </c>
      <c r="AJ97" s="33">
        <v>79.68458</v>
      </c>
      <c r="AK97" s="34">
        <f t="shared" si="17"/>
        <v>38.01629483</v>
      </c>
      <c r="AL97" s="33">
        <v>76.62187</v>
      </c>
      <c r="AM97" s="34">
        <f t="shared" si="18"/>
        <v>133.5441745</v>
      </c>
    </row>
    <row r="98">
      <c r="A98" s="32">
        <v>45926.0</v>
      </c>
      <c r="B98" s="33">
        <v>69.18892</v>
      </c>
      <c r="C98" s="34">
        <f t="shared" si="19"/>
        <v>7.265058849</v>
      </c>
      <c r="D98" s="33">
        <v>83.00706</v>
      </c>
      <c r="E98" s="34">
        <f t="shared" si="1"/>
        <v>23.79443038</v>
      </c>
      <c r="F98" s="33">
        <v>81.12411</v>
      </c>
      <c r="G98" s="34">
        <f t="shared" si="2"/>
        <v>100.1871129</v>
      </c>
      <c r="H98" s="33">
        <v>83.38502</v>
      </c>
      <c r="I98" s="34">
        <f t="shared" si="3"/>
        <v>231.6052807</v>
      </c>
      <c r="J98" s="33">
        <v>67.34144</v>
      </c>
      <c r="K98" s="34">
        <f t="shared" si="4"/>
        <v>80.5349688</v>
      </c>
      <c r="L98" s="33">
        <v>72.97429</v>
      </c>
      <c r="M98" s="34">
        <f t="shared" si="5"/>
        <v>79.01422456</v>
      </c>
      <c r="N98" s="33">
        <v>85.01869</v>
      </c>
      <c r="O98" s="34">
        <f t="shared" si="6"/>
        <v>59.44837186</v>
      </c>
      <c r="P98" s="33">
        <v>84.22666</v>
      </c>
      <c r="Q98" s="34">
        <f t="shared" si="7"/>
        <v>122.9767678</v>
      </c>
      <c r="R98" s="33">
        <v>87.85642</v>
      </c>
      <c r="S98" s="34">
        <f t="shared" si="8"/>
        <v>0</v>
      </c>
      <c r="T98" s="33">
        <v>78.03152</v>
      </c>
      <c r="U98" s="34">
        <f t="shared" si="9"/>
        <v>155.6320432</v>
      </c>
      <c r="V98" s="33">
        <v>88.03354</v>
      </c>
      <c r="W98" s="34">
        <f t="shared" si="10"/>
        <v>89.82589287</v>
      </c>
      <c r="X98" s="33">
        <v>80.52934</v>
      </c>
      <c r="Y98" s="34">
        <f t="shared" si="11"/>
        <v>90.54948091</v>
      </c>
      <c r="Z98" s="33">
        <v>84.73212</v>
      </c>
      <c r="AA98" s="34">
        <f t="shared" si="12"/>
        <v>134.340488</v>
      </c>
      <c r="AB98" s="33">
        <v>89.67095</v>
      </c>
      <c r="AC98" s="34">
        <f t="shared" si="13"/>
        <v>0.2102281851</v>
      </c>
      <c r="AD98" s="33">
        <v>80.57407</v>
      </c>
      <c r="AE98" s="34">
        <f t="shared" si="14"/>
        <v>220.4008284</v>
      </c>
      <c r="AF98" s="33">
        <v>76.08329</v>
      </c>
      <c r="AG98" s="34">
        <f t="shared" si="15"/>
        <v>154.5205603</v>
      </c>
      <c r="AH98" s="33">
        <v>66.64525</v>
      </c>
      <c r="AI98" s="34">
        <f t="shared" si="16"/>
        <v>31.71040544</v>
      </c>
      <c r="AJ98" s="33">
        <v>78.70648</v>
      </c>
      <c r="AK98" s="34">
        <f t="shared" si="17"/>
        <v>44.75936345</v>
      </c>
      <c r="AL98" s="33">
        <v>70.62961</v>
      </c>
      <c r="AM98" s="34">
        <f t="shared" si="18"/>
        <v>150.0675659</v>
      </c>
    </row>
    <row r="99">
      <c r="A99" s="32">
        <v>45927.0</v>
      </c>
      <c r="B99" s="33">
        <v>64.64756</v>
      </c>
      <c r="C99" s="34">
        <f t="shared" si="19"/>
        <v>7.124193273</v>
      </c>
      <c r="D99" s="33">
        <v>78.27702</v>
      </c>
      <c r="E99" s="34">
        <f t="shared" si="1"/>
        <v>25.61531103</v>
      </c>
      <c r="F99" s="33">
        <v>77.9537</v>
      </c>
      <c r="G99" s="34">
        <f t="shared" si="2"/>
        <v>109.0929671</v>
      </c>
      <c r="H99" s="33">
        <v>69.28946</v>
      </c>
      <c r="I99" s="34">
        <f t="shared" si="3"/>
        <v>250.8759251</v>
      </c>
      <c r="J99" s="33">
        <v>70.11627</v>
      </c>
      <c r="K99" s="34">
        <f t="shared" si="4"/>
        <v>95.31772505</v>
      </c>
      <c r="L99" s="33">
        <v>74.05633</v>
      </c>
      <c r="M99" s="34">
        <f t="shared" si="5"/>
        <v>92.10837183</v>
      </c>
      <c r="N99" s="33">
        <v>82.53692</v>
      </c>
      <c r="O99" s="34">
        <f t="shared" si="6"/>
        <v>60.42256909</v>
      </c>
      <c r="P99" s="33">
        <v>80.81085</v>
      </c>
      <c r="Q99" s="34">
        <f t="shared" si="7"/>
        <v>126.5733376</v>
      </c>
      <c r="R99" s="33">
        <v>79.95996</v>
      </c>
      <c r="S99" s="34">
        <f t="shared" si="8"/>
        <v>4.819974836</v>
      </c>
      <c r="T99" s="33">
        <v>80.86918</v>
      </c>
      <c r="U99" s="34">
        <f t="shared" si="9"/>
        <v>162.2656321</v>
      </c>
      <c r="V99" s="33">
        <v>87.83645</v>
      </c>
      <c r="W99" s="34">
        <f t="shared" si="10"/>
        <v>89.62087413</v>
      </c>
      <c r="X99" s="33">
        <v>82.90225</v>
      </c>
      <c r="Y99" s="34">
        <f t="shared" si="11"/>
        <v>93.1237601</v>
      </c>
      <c r="Z99" s="33">
        <v>86.49422</v>
      </c>
      <c r="AA99" s="34">
        <f t="shared" si="12"/>
        <v>132.7111469</v>
      </c>
      <c r="AB99" s="33">
        <v>80.7866</v>
      </c>
      <c r="AC99" s="34">
        <f t="shared" si="13"/>
        <v>8.421562278</v>
      </c>
      <c r="AD99" s="33">
        <v>87.25424</v>
      </c>
      <c r="AE99" s="34">
        <f t="shared" si="14"/>
        <v>224.0220497</v>
      </c>
      <c r="AF99" s="33">
        <v>83.89394</v>
      </c>
      <c r="AG99" s="34">
        <f t="shared" si="15"/>
        <v>158.7437264</v>
      </c>
      <c r="AH99" s="33">
        <v>74.176</v>
      </c>
      <c r="AI99" s="34">
        <f t="shared" si="16"/>
        <v>39.46545053</v>
      </c>
      <c r="AJ99" s="33">
        <v>74.23674</v>
      </c>
      <c r="AK99" s="36">
        <f t="shared" si="17"/>
        <v>55.97217207</v>
      </c>
      <c r="AL99" s="33">
        <v>71.30964</v>
      </c>
      <c r="AM99" s="34">
        <f t="shared" si="18"/>
        <v>165.9109272</v>
      </c>
    </row>
    <row r="100">
      <c r="A100" s="32">
        <v>45928.0</v>
      </c>
      <c r="B100" s="33">
        <v>60.11756</v>
      </c>
      <c r="C100" s="34">
        <f t="shared" si="19"/>
        <v>22.1869477</v>
      </c>
      <c r="D100" s="33">
        <v>81.74793</v>
      </c>
      <c r="E100" s="34">
        <f t="shared" si="1"/>
        <v>32.16623168</v>
      </c>
      <c r="F100" s="33">
        <v>73.47135</v>
      </c>
      <c r="G100" s="34">
        <f t="shared" si="2"/>
        <v>122.4811714</v>
      </c>
      <c r="H100" s="33">
        <v>67.28005</v>
      </c>
      <c r="I100" s="34">
        <f t="shared" si="3"/>
        <v>272.1559796</v>
      </c>
      <c r="J100" s="33">
        <v>71.47716</v>
      </c>
      <c r="K100" s="34">
        <f t="shared" si="4"/>
        <v>108.7395913</v>
      </c>
      <c r="L100" s="33">
        <v>73.15971</v>
      </c>
      <c r="M100" s="34">
        <f t="shared" si="5"/>
        <v>106.0991391</v>
      </c>
      <c r="N100" s="33">
        <v>81.6985</v>
      </c>
      <c r="O100" s="34">
        <f t="shared" si="6"/>
        <v>62.23518632</v>
      </c>
      <c r="P100" s="33">
        <v>72.77447</v>
      </c>
      <c r="Q100" s="34">
        <f t="shared" si="7"/>
        <v>138.2062873</v>
      </c>
      <c r="R100" s="33">
        <v>84.71344</v>
      </c>
      <c r="S100" s="34">
        <f t="shared" si="8"/>
        <v>4.886469673</v>
      </c>
      <c r="T100" s="33">
        <v>79.17575</v>
      </c>
      <c r="U100" s="34">
        <f t="shared" si="9"/>
        <v>170.5926511</v>
      </c>
      <c r="V100" s="33">
        <v>86.28576</v>
      </c>
      <c r="W100" s="34">
        <f t="shared" si="10"/>
        <v>90.9665454</v>
      </c>
      <c r="X100" s="33">
        <v>79.65327</v>
      </c>
      <c r="Y100" s="34">
        <f t="shared" si="11"/>
        <v>98.9470193</v>
      </c>
      <c r="Z100" s="33">
        <v>85.44789</v>
      </c>
      <c r="AA100" s="34">
        <f t="shared" si="12"/>
        <v>132.1281358</v>
      </c>
      <c r="AB100" s="33">
        <v>85.03132</v>
      </c>
      <c r="AC100" s="34">
        <f t="shared" si="13"/>
        <v>12.38817637</v>
      </c>
      <c r="AD100" s="33">
        <v>87.24887</v>
      </c>
      <c r="AE100" s="34">
        <f t="shared" si="14"/>
        <v>227.648641</v>
      </c>
      <c r="AF100" s="33">
        <v>87.69646</v>
      </c>
      <c r="AG100" s="34">
        <f t="shared" si="15"/>
        <v>159.1643725</v>
      </c>
      <c r="AH100" s="33">
        <v>77.22432</v>
      </c>
      <c r="AI100" s="34">
        <f t="shared" si="16"/>
        <v>44.17217562</v>
      </c>
      <c r="AJ100" s="33">
        <v>75.51476</v>
      </c>
      <c r="AK100" s="34">
        <f t="shared" si="17"/>
        <v>65.90696069</v>
      </c>
      <c r="AL100" s="33">
        <v>68.77749</v>
      </c>
      <c r="AM100" s="34">
        <f t="shared" si="18"/>
        <v>184.2864385</v>
      </c>
    </row>
    <row r="101">
      <c r="A101" s="32">
        <v>45929.0</v>
      </c>
      <c r="B101" s="33">
        <v>62.33211</v>
      </c>
      <c r="C101" s="34">
        <f t="shared" si="19"/>
        <v>41.79106212</v>
      </c>
      <c r="D101" s="33">
        <v>79.03317</v>
      </c>
      <c r="E101" s="34">
        <f t="shared" si="1"/>
        <v>35.24624233</v>
      </c>
      <c r="F101" s="33">
        <v>75.74397</v>
      </c>
      <c r="G101" s="34">
        <f t="shared" si="2"/>
        <v>133.5967557</v>
      </c>
      <c r="H101" s="33">
        <v>69.22361</v>
      </c>
      <c r="I101" s="34">
        <f t="shared" si="3"/>
        <v>291.4924741</v>
      </c>
      <c r="J101" s="33">
        <v>71.79422</v>
      </c>
      <c r="K101" s="34">
        <f t="shared" si="4"/>
        <v>121.8443976</v>
      </c>
      <c r="L101" s="33">
        <v>71.47602</v>
      </c>
      <c r="M101" s="34">
        <f t="shared" si="5"/>
        <v>121.7735964</v>
      </c>
      <c r="N101" s="33">
        <v>69.4897</v>
      </c>
      <c r="O101" s="34">
        <f t="shared" si="6"/>
        <v>76.25660355</v>
      </c>
      <c r="P101" s="33">
        <v>70.87339</v>
      </c>
      <c r="Q101" s="34">
        <f t="shared" si="7"/>
        <v>151.7403171</v>
      </c>
      <c r="R101" s="33">
        <v>79.94999</v>
      </c>
      <c r="S101" s="34">
        <f t="shared" si="8"/>
        <v>9.716414509</v>
      </c>
      <c r="T101" s="33">
        <v>76.43757</v>
      </c>
      <c r="U101" s="34">
        <f t="shared" si="9"/>
        <v>181.6578501</v>
      </c>
      <c r="V101" s="33">
        <v>79.74205</v>
      </c>
      <c r="W101" s="34">
        <f t="shared" si="10"/>
        <v>98.85592666</v>
      </c>
      <c r="X101" s="33">
        <v>78.69379</v>
      </c>
      <c r="Y101" s="34">
        <f t="shared" si="11"/>
        <v>105.7297585</v>
      </c>
      <c r="Z101" s="33">
        <v>78.87782</v>
      </c>
      <c r="AA101" s="34">
        <f t="shared" si="12"/>
        <v>138.1151947</v>
      </c>
      <c r="AB101" s="33">
        <v>73.17106</v>
      </c>
      <c r="AC101" s="34">
        <f t="shared" si="13"/>
        <v>28.21505046</v>
      </c>
      <c r="AD101" s="33">
        <v>79.05283</v>
      </c>
      <c r="AE101" s="34">
        <f t="shared" si="14"/>
        <v>239.4712723</v>
      </c>
      <c r="AF101" s="33">
        <v>86.62651</v>
      </c>
      <c r="AG101" s="34">
        <f t="shared" si="15"/>
        <v>160.6549685</v>
      </c>
      <c r="AH101" s="33">
        <v>76.93059</v>
      </c>
      <c r="AI101" s="34">
        <f t="shared" si="16"/>
        <v>49.17263071</v>
      </c>
      <c r="AJ101" s="33">
        <v>74.2184</v>
      </c>
      <c r="AK101" s="34">
        <f t="shared" si="17"/>
        <v>77.13810931</v>
      </c>
      <c r="AL101" s="33">
        <v>72.23516</v>
      </c>
      <c r="AM101" s="34">
        <f t="shared" si="18"/>
        <v>199.2042799</v>
      </c>
    </row>
    <row r="102">
      <c r="A102" s="32">
        <v>45930.0</v>
      </c>
      <c r="B102" s="33">
        <v>64.04852</v>
      </c>
      <c r="C102" s="36">
        <f t="shared" si="19"/>
        <v>65.92517655</v>
      </c>
      <c r="D102" s="33">
        <v>69.92948</v>
      </c>
      <c r="E102" s="34">
        <f t="shared" si="1"/>
        <v>41.04101298</v>
      </c>
      <c r="F102" s="33">
        <v>72.06467</v>
      </c>
      <c r="G102" s="34">
        <f t="shared" si="2"/>
        <v>148.39164</v>
      </c>
      <c r="H102" s="33">
        <v>66.71896</v>
      </c>
      <c r="I102" s="34">
        <f t="shared" si="3"/>
        <v>313.3336185</v>
      </c>
      <c r="J102" s="33">
        <v>67.22207</v>
      </c>
      <c r="K102" s="34">
        <f t="shared" si="4"/>
        <v>139.5213538</v>
      </c>
      <c r="L102" s="33">
        <v>69.4046</v>
      </c>
      <c r="M102" s="34">
        <f t="shared" si="5"/>
        <v>139.5194737</v>
      </c>
      <c r="N102" s="33">
        <v>65.81322</v>
      </c>
      <c r="O102" s="34">
        <f t="shared" si="6"/>
        <v>93.95450078</v>
      </c>
      <c r="P102" s="33">
        <v>76.05237</v>
      </c>
      <c r="Q102" s="34">
        <f t="shared" si="7"/>
        <v>160.0953669</v>
      </c>
      <c r="R102" s="33">
        <v>83.083</v>
      </c>
      <c r="S102" s="34">
        <f t="shared" si="8"/>
        <v>11.41334935</v>
      </c>
      <c r="T102" s="33">
        <v>70.67778</v>
      </c>
      <c r="U102" s="34">
        <f t="shared" si="9"/>
        <v>198.482839</v>
      </c>
      <c r="V102" s="33">
        <v>81.34809</v>
      </c>
      <c r="W102" s="34">
        <f t="shared" si="10"/>
        <v>105.1392679</v>
      </c>
      <c r="X102" s="33">
        <v>83.53445</v>
      </c>
      <c r="Y102" s="34">
        <f t="shared" si="11"/>
        <v>107.6718377</v>
      </c>
      <c r="Z102" s="33">
        <v>73.31685</v>
      </c>
      <c r="AA102" s="34">
        <f t="shared" si="12"/>
        <v>149.6632236</v>
      </c>
      <c r="AB102" s="33">
        <v>77.61124</v>
      </c>
      <c r="AC102" s="34">
        <f t="shared" si="13"/>
        <v>39.60174456</v>
      </c>
      <c r="AD102" s="33">
        <v>81.33449</v>
      </c>
      <c r="AE102" s="34">
        <f t="shared" si="14"/>
        <v>249.0122436</v>
      </c>
      <c r="AF102" s="33">
        <v>82.14768</v>
      </c>
      <c r="AG102" s="34">
        <f t="shared" si="15"/>
        <v>166.6243946</v>
      </c>
      <c r="AH102" s="33">
        <v>71.9801</v>
      </c>
      <c r="AI102" s="36">
        <f t="shared" si="16"/>
        <v>59.1235758</v>
      </c>
      <c r="AJ102" s="33">
        <v>69.01567</v>
      </c>
      <c r="AK102" s="34">
        <f t="shared" si="17"/>
        <v>93.57198793</v>
      </c>
      <c r="AL102" s="33">
        <v>76.16466</v>
      </c>
      <c r="AM102" s="34">
        <f t="shared" si="18"/>
        <v>210.1926212</v>
      </c>
    </row>
    <row r="103">
      <c r="A103" s="32">
        <v>45931.0</v>
      </c>
      <c r="B103" s="33">
        <v>80.67739</v>
      </c>
      <c r="C103" s="34">
        <f t="shared" si="19"/>
        <v>87.84474097</v>
      </c>
      <c r="D103" s="33">
        <v>69.54799</v>
      </c>
      <c r="E103" s="36">
        <f t="shared" si="1"/>
        <v>55.93947362</v>
      </c>
      <c r="F103" s="33">
        <v>70.03772</v>
      </c>
      <c r="G103" s="34">
        <f t="shared" si="2"/>
        <v>165.2134743</v>
      </c>
      <c r="H103" s="33">
        <v>71.72289</v>
      </c>
      <c r="I103" s="34">
        <f t="shared" si="3"/>
        <v>330.170833</v>
      </c>
      <c r="J103" s="33">
        <v>68.61302</v>
      </c>
      <c r="K103" s="34">
        <f t="shared" si="4"/>
        <v>155.8073601</v>
      </c>
      <c r="L103" s="33">
        <v>75.19378</v>
      </c>
      <c r="M103" s="34">
        <f t="shared" si="5"/>
        <v>151.4761709</v>
      </c>
      <c r="N103" s="33">
        <v>68.09736</v>
      </c>
      <c r="O103" s="34">
        <f t="shared" si="6"/>
        <v>109.368258</v>
      </c>
      <c r="P103" s="33">
        <v>77.24541</v>
      </c>
      <c r="Q103" s="34">
        <f t="shared" si="7"/>
        <v>167.2573766</v>
      </c>
      <c r="R103" s="33">
        <v>81.12137</v>
      </c>
      <c r="S103" s="34">
        <f t="shared" si="8"/>
        <v>15.07191418</v>
      </c>
      <c r="T103" s="33">
        <v>72.91653</v>
      </c>
      <c r="U103" s="34">
        <f t="shared" si="9"/>
        <v>213.069078</v>
      </c>
      <c r="V103" s="33">
        <v>80.39742</v>
      </c>
      <c r="W103" s="34">
        <f t="shared" si="10"/>
        <v>112.3732792</v>
      </c>
      <c r="X103" s="33">
        <v>86.17899</v>
      </c>
      <c r="Y103" s="34">
        <f t="shared" si="11"/>
        <v>106.9693769</v>
      </c>
      <c r="Z103" s="33">
        <v>71.68182</v>
      </c>
      <c r="AA103" s="34">
        <f t="shared" si="12"/>
        <v>162.8462825</v>
      </c>
      <c r="AB103" s="33">
        <v>75.22927</v>
      </c>
      <c r="AC103" s="36">
        <f t="shared" si="13"/>
        <v>53.37040865</v>
      </c>
      <c r="AD103" s="33">
        <v>78.95309</v>
      </c>
      <c r="AE103" s="34">
        <f t="shared" si="14"/>
        <v>260.9346149</v>
      </c>
      <c r="AF103" s="33">
        <v>73.01363</v>
      </c>
      <c r="AG103" s="34">
        <f t="shared" si="15"/>
        <v>181.7278707</v>
      </c>
      <c r="AH103" s="33">
        <v>75.4424</v>
      </c>
      <c r="AI103" s="34">
        <f t="shared" si="16"/>
        <v>65.61222089</v>
      </c>
      <c r="AJ103" s="33">
        <v>79.39071</v>
      </c>
      <c r="AK103" s="34">
        <f t="shared" si="17"/>
        <v>99.63082655</v>
      </c>
      <c r="AL103" s="33">
        <v>80.70125</v>
      </c>
      <c r="AM103" s="34">
        <f t="shared" si="18"/>
        <v>216.6443726</v>
      </c>
    </row>
    <row r="104">
      <c r="A104" s="32">
        <v>45932.0</v>
      </c>
      <c r="B104" s="33">
        <v>82.9687</v>
      </c>
      <c r="C104" s="34">
        <f t="shared" si="19"/>
        <v>108.0478954</v>
      </c>
      <c r="D104" s="33">
        <v>85.55943</v>
      </c>
      <c r="E104" s="34">
        <f t="shared" si="1"/>
        <v>71.21942427</v>
      </c>
      <c r="F104" s="33">
        <v>72.04668</v>
      </c>
      <c r="G104" s="34">
        <f t="shared" si="2"/>
        <v>180.0263486</v>
      </c>
      <c r="H104" s="33">
        <v>75.2602</v>
      </c>
      <c r="I104" s="34">
        <f t="shared" si="3"/>
        <v>343.4707375</v>
      </c>
      <c r="J104" s="33">
        <v>72.55846</v>
      </c>
      <c r="K104" s="34">
        <f t="shared" si="4"/>
        <v>168.1479263</v>
      </c>
      <c r="L104" s="33">
        <v>79.63969</v>
      </c>
      <c r="M104" s="34">
        <f t="shared" si="5"/>
        <v>158.9869582</v>
      </c>
      <c r="N104" s="33">
        <v>70.10585</v>
      </c>
      <c r="O104" s="34">
        <f t="shared" si="6"/>
        <v>122.7735252</v>
      </c>
      <c r="P104" s="33">
        <v>78.54467</v>
      </c>
      <c r="Q104" s="34">
        <f t="shared" si="7"/>
        <v>173.1201264</v>
      </c>
      <c r="R104" s="33">
        <v>80.2443</v>
      </c>
      <c r="S104" s="34">
        <f t="shared" si="8"/>
        <v>19.60754902</v>
      </c>
      <c r="T104" s="33">
        <v>78.07264</v>
      </c>
      <c r="U104" s="34">
        <f t="shared" si="9"/>
        <v>222.499207</v>
      </c>
      <c r="V104" s="33">
        <v>77.10956</v>
      </c>
      <c r="W104" s="34">
        <f t="shared" si="10"/>
        <v>122.8951505</v>
      </c>
      <c r="X104" s="33">
        <v>76.2226</v>
      </c>
      <c r="Y104" s="34">
        <f t="shared" si="11"/>
        <v>116.2233061</v>
      </c>
      <c r="Z104" s="33">
        <v>74.73955</v>
      </c>
      <c r="AA104" s="34">
        <f t="shared" si="12"/>
        <v>172.9716114</v>
      </c>
      <c r="AB104" s="33">
        <v>77.06579</v>
      </c>
      <c r="AC104" s="34">
        <f t="shared" si="13"/>
        <v>65.30255274</v>
      </c>
      <c r="AD104" s="33">
        <v>68.47238</v>
      </c>
      <c r="AE104" s="34">
        <f t="shared" si="14"/>
        <v>283.3376962</v>
      </c>
      <c r="AF104" s="33">
        <v>75.92471</v>
      </c>
      <c r="AG104" s="34">
        <f t="shared" si="15"/>
        <v>193.9202667</v>
      </c>
      <c r="AH104" s="33">
        <v>80.12355</v>
      </c>
      <c r="AI104" s="34">
        <f t="shared" si="16"/>
        <v>67.41971598</v>
      </c>
      <c r="AJ104" s="33">
        <v>83.1147</v>
      </c>
      <c r="AK104" s="34">
        <f t="shared" si="17"/>
        <v>101.9656752</v>
      </c>
      <c r="AL104" s="33">
        <v>72.64256</v>
      </c>
      <c r="AM104" s="34">
        <f t="shared" si="18"/>
        <v>231.1548139</v>
      </c>
    </row>
    <row r="105">
      <c r="A105" s="32">
        <v>45933.0</v>
      </c>
      <c r="B105" s="33">
        <v>88.42319</v>
      </c>
      <c r="C105" s="34">
        <f t="shared" si="19"/>
        <v>111.6221798</v>
      </c>
      <c r="D105" s="33">
        <v>91.87504</v>
      </c>
      <c r="E105" s="34">
        <f t="shared" si="1"/>
        <v>70.48793492</v>
      </c>
      <c r="F105" s="33">
        <v>83.76263</v>
      </c>
      <c r="G105" s="34">
        <f t="shared" si="2"/>
        <v>183.1232729</v>
      </c>
      <c r="H105" s="33">
        <v>86.9209</v>
      </c>
      <c r="I105" s="34">
        <f t="shared" si="3"/>
        <v>345.1099419</v>
      </c>
      <c r="J105" s="33">
        <v>84.83215</v>
      </c>
      <c r="K105" s="34">
        <f t="shared" si="4"/>
        <v>168.2148026</v>
      </c>
      <c r="L105" s="33">
        <v>87.48906</v>
      </c>
      <c r="M105" s="34">
        <f t="shared" si="5"/>
        <v>158.6483755</v>
      </c>
      <c r="N105" s="33">
        <v>72.01842</v>
      </c>
      <c r="O105" s="34">
        <f t="shared" si="6"/>
        <v>134.2662225</v>
      </c>
      <c r="P105" s="33">
        <v>83.30495</v>
      </c>
      <c r="Q105" s="34">
        <f t="shared" si="7"/>
        <v>174.2225961</v>
      </c>
      <c r="R105" s="33">
        <v>84.43257</v>
      </c>
      <c r="S105" s="34">
        <f t="shared" si="8"/>
        <v>19.95491385</v>
      </c>
      <c r="T105" s="33">
        <v>79.74177</v>
      </c>
      <c r="U105" s="34">
        <f t="shared" si="9"/>
        <v>230.2602059</v>
      </c>
      <c r="V105" s="33">
        <v>79.9347</v>
      </c>
      <c r="W105" s="34">
        <f t="shared" si="10"/>
        <v>130.5918817</v>
      </c>
      <c r="X105" s="33">
        <v>72.68844</v>
      </c>
      <c r="Y105" s="34">
        <f t="shared" si="11"/>
        <v>129.0113953</v>
      </c>
      <c r="Z105" s="33">
        <v>74.8659</v>
      </c>
      <c r="AA105" s="34">
        <f t="shared" si="12"/>
        <v>182.9705903</v>
      </c>
      <c r="AB105" s="33">
        <v>77.82256</v>
      </c>
      <c r="AC105" s="34">
        <f t="shared" si="13"/>
        <v>76.47792683</v>
      </c>
      <c r="AD105" s="33">
        <v>66.02133</v>
      </c>
      <c r="AE105" s="34">
        <f t="shared" si="14"/>
        <v>308.1918275</v>
      </c>
      <c r="AF105" s="33">
        <v>73.19292</v>
      </c>
      <c r="AG105" s="34">
        <f t="shared" si="15"/>
        <v>208.8444528</v>
      </c>
      <c r="AH105" s="33">
        <v>82.22874</v>
      </c>
      <c r="AI105" s="34">
        <f t="shared" si="16"/>
        <v>67.12202106</v>
      </c>
      <c r="AJ105" s="33">
        <v>84.77992</v>
      </c>
      <c r="AK105" s="34">
        <f t="shared" si="17"/>
        <v>102.6353038</v>
      </c>
      <c r="AL105" s="33">
        <v>66.83529</v>
      </c>
      <c r="AM105" s="34">
        <f t="shared" si="18"/>
        <v>251.4725253</v>
      </c>
    </row>
    <row r="106">
      <c r="A106" s="32">
        <v>45934.0</v>
      </c>
      <c r="B106" s="33">
        <v>65.51275</v>
      </c>
      <c r="C106" s="34">
        <f t="shared" si="19"/>
        <v>112.9051542</v>
      </c>
      <c r="D106" s="33">
        <v>73.49192</v>
      </c>
      <c r="E106" s="34">
        <f t="shared" si="1"/>
        <v>63.44083557</v>
      </c>
      <c r="F106" s="33">
        <v>80.32162</v>
      </c>
      <c r="G106" s="34">
        <f t="shared" si="2"/>
        <v>189.6612071</v>
      </c>
      <c r="H106" s="33">
        <v>78.04563</v>
      </c>
      <c r="I106" s="34">
        <f t="shared" si="3"/>
        <v>355.6244164</v>
      </c>
      <c r="J106" s="33">
        <v>78.34437</v>
      </c>
      <c r="K106" s="34">
        <f t="shared" si="4"/>
        <v>174.7694588</v>
      </c>
      <c r="L106" s="33">
        <v>82.39024</v>
      </c>
      <c r="M106" s="34">
        <f t="shared" si="5"/>
        <v>163.4086128</v>
      </c>
      <c r="N106" s="33">
        <v>65.90377</v>
      </c>
      <c r="O106" s="34">
        <f t="shared" si="6"/>
        <v>151.8735697</v>
      </c>
      <c r="P106" s="33">
        <v>82.60847</v>
      </c>
      <c r="Q106" s="34">
        <f t="shared" si="7"/>
        <v>176.0215459</v>
      </c>
      <c r="R106" s="33">
        <v>85.33311</v>
      </c>
      <c r="S106" s="34">
        <f t="shared" si="8"/>
        <v>19.40173869</v>
      </c>
      <c r="T106" s="33">
        <v>83.31499</v>
      </c>
      <c r="U106" s="34">
        <f t="shared" si="9"/>
        <v>234.4479849</v>
      </c>
      <c r="V106" s="33">
        <v>79.74191</v>
      </c>
      <c r="W106" s="34">
        <f t="shared" si="10"/>
        <v>138.481403</v>
      </c>
      <c r="X106" s="33">
        <v>79.9452</v>
      </c>
      <c r="Y106" s="34">
        <f t="shared" si="11"/>
        <v>134.5427244</v>
      </c>
      <c r="Z106" s="33">
        <v>77.13752</v>
      </c>
      <c r="AA106" s="34">
        <f t="shared" si="12"/>
        <v>190.6979492</v>
      </c>
      <c r="AB106" s="33">
        <v>71.94655</v>
      </c>
      <c r="AC106" s="34">
        <f t="shared" si="13"/>
        <v>93.52931093</v>
      </c>
      <c r="AD106" s="33">
        <v>73.60669</v>
      </c>
      <c r="AE106" s="34">
        <f t="shared" si="14"/>
        <v>325.4605987</v>
      </c>
      <c r="AF106" s="33">
        <v>74.82885</v>
      </c>
      <c r="AG106" s="34">
        <f t="shared" si="15"/>
        <v>222.1327088</v>
      </c>
      <c r="AH106" s="33">
        <v>84.52765</v>
      </c>
      <c r="AI106" s="34">
        <f t="shared" si="16"/>
        <v>64.52541615</v>
      </c>
      <c r="AJ106" s="33">
        <v>82.89657</v>
      </c>
      <c r="AK106" s="34">
        <f t="shared" si="17"/>
        <v>105.1882824</v>
      </c>
      <c r="AL106" s="33">
        <v>66.52752</v>
      </c>
      <c r="AM106" s="34">
        <f t="shared" si="18"/>
        <v>272.0980066</v>
      </c>
    </row>
    <row r="107">
      <c r="A107" s="32">
        <v>45935.0</v>
      </c>
      <c r="B107" s="33">
        <v>69.77949</v>
      </c>
      <c r="C107" s="34">
        <f t="shared" si="19"/>
        <v>108.7336387</v>
      </c>
      <c r="D107" s="33">
        <v>74.85992</v>
      </c>
      <c r="E107" s="34">
        <f t="shared" si="1"/>
        <v>74.77685622</v>
      </c>
      <c r="F107" s="33">
        <v>69.61339</v>
      </c>
      <c r="G107" s="34">
        <f t="shared" si="2"/>
        <v>206.9073714</v>
      </c>
      <c r="H107" s="33">
        <v>78.14382</v>
      </c>
      <c r="I107" s="34">
        <f t="shared" si="3"/>
        <v>366.0407009</v>
      </c>
      <c r="J107" s="33">
        <v>77.77499</v>
      </c>
      <c r="K107" s="34">
        <f t="shared" si="4"/>
        <v>181.8934951</v>
      </c>
      <c r="L107" s="33">
        <v>80.37722</v>
      </c>
      <c r="M107" s="34">
        <f t="shared" si="5"/>
        <v>170.18187</v>
      </c>
      <c r="N107" s="33">
        <v>72.96918</v>
      </c>
      <c r="O107" s="34">
        <f t="shared" si="6"/>
        <v>162.4155069</v>
      </c>
      <c r="P107" s="33">
        <v>79.9908</v>
      </c>
      <c r="Q107" s="34">
        <f t="shared" si="7"/>
        <v>180.4381657</v>
      </c>
      <c r="R107" s="33">
        <v>83.90111</v>
      </c>
      <c r="S107" s="34">
        <f t="shared" si="8"/>
        <v>20.28056353</v>
      </c>
      <c r="T107" s="33">
        <v>82.0122</v>
      </c>
      <c r="U107" s="34">
        <f t="shared" si="9"/>
        <v>239.9385539</v>
      </c>
      <c r="V107" s="33">
        <v>78.85634</v>
      </c>
      <c r="W107" s="34">
        <f t="shared" si="10"/>
        <v>147.2564942</v>
      </c>
      <c r="X107" s="33">
        <v>81.30774</v>
      </c>
      <c r="Y107" s="34">
        <f t="shared" si="11"/>
        <v>138.7115136</v>
      </c>
      <c r="Z107" s="33">
        <v>74.11801</v>
      </c>
      <c r="AA107" s="34">
        <f t="shared" si="12"/>
        <v>201.4448181</v>
      </c>
      <c r="AB107" s="33">
        <v>65.82934</v>
      </c>
      <c r="AC107" s="34">
        <f t="shared" si="13"/>
        <v>116.697905</v>
      </c>
      <c r="AD107" s="33">
        <v>76.91659</v>
      </c>
      <c r="AE107" s="34">
        <f t="shared" si="14"/>
        <v>339.41947</v>
      </c>
      <c r="AF107" s="33">
        <v>78.58733</v>
      </c>
      <c r="AG107" s="34">
        <f t="shared" si="15"/>
        <v>231.6624849</v>
      </c>
      <c r="AH107" s="33">
        <v>83.06187</v>
      </c>
      <c r="AI107" s="34">
        <f t="shared" si="16"/>
        <v>63.39459124</v>
      </c>
      <c r="AJ107" s="33">
        <v>69.38644</v>
      </c>
      <c r="AK107" s="34">
        <f t="shared" si="17"/>
        <v>121.251391</v>
      </c>
      <c r="AL107" s="33">
        <v>71.27533</v>
      </c>
      <c r="AM107" s="34">
        <f t="shared" si="18"/>
        <v>287.975678</v>
      </c>
    </row>
    <row r="108">
      <c r="A108" s="32">
        <v>45936.0</v>
      </c>
      <c r="B108" s="33">
        <v>75.23323</v>
      </c>
      <c r="C108" s="34">
        <f t="shared" si="19"/>
        <v>127.4725631</v>
      </c>
      <c r="D108" s="33">
        <v>76.67307</v>
      </c>
      <c r="E108" s="34">
        <f t="shared" si="1"/>
        <v>84.74487687</v>
      </c>
      <c r="F108" s="33">
        <v>66.65535</v>
      </c>
      <c r="G108" s="34">
        <f t="shared" si="2"/>
        <v>227.1115757</v>
      </c>
      <c r="H108" s="33">
        <v>75.69908</v>
      </c>
      <c r="I108" s="34">
        <f t="shared" si="3"/>
        <v>378.9017254</v>
      </c>
      <c r="J108" s="33">
        <v>72.20267</v>
      </c>
      <c r="K108" s="34">
        <f t="shared" si="4"/>
        <v>194.5898513</v>
      </c>
      <c r="L108" s="33">
        <v>77.64728</v>
      </c>
      <c r="M108" s="34">
        <f t="shared" si="5"/>
        <v>179.6850673</v>
      </c>
      <c r="N108" s="33">
        <v>69.5532</v>
      </c>
      <c r="O108" s="34">
        <f t="shared" si="6"/>
        <v>176.3734242</v>
      </c>
      <c r="P108" s="33">
        <v>73.34332</v>
      </c>
      <c r="Q108" s="34">
        <f t="shared" si="7"/>
        <v>191.5022654</v>
      </c>
      <c r="R108" s="33">
        <v>75.67862</v>
      </c>
      <c r="S108" s="34">
        <f t="shared" si="8"/>
        <v>29.38187836</v>
      </c>
      <c r="T108" s="33">
        <v>78.17905</v>
      </c>
      <c r="U108" s="34">
        <f t="shared" si="9"/>
        <v>249.2622729</v>
      </c>
      <c r="V108" s="33">
        <v>72.49814</v>
      </c>
      <c r="W108" s="34">
        <f t="shared" si="10"/>
        <v>162.3897855</v>
      </c>
      <c r="X108" s="33">
        <v>76.20939</v>
      </c>
      <c r="Y108" s="34">
        <f t="shared" si="11"/>
        <v>147.9786528</v>
      </c>
      <c r="Z108" s="33">
        <v>60.75813</v>
      </c>
      <c r="AA108" s="34">
        <f t="shared" si="12"/>
        <v>225.551567</v>
      </c>
      <c r="AB108" s="33">
        <v>67.97246</v>
      </c>
      <c r="AC108" s="34">
        <f t="shared" si="13"/>
        <v>137.7233791</v>
      </c>
      <c r="AD108" s="33">
        <v>80.50562</v>
      </c>
      <c r="AE108" s="34">
        <f t="shared" si="14"/>
        <v>349.7893113</v>
      </c>
      <c r="AF108" s="33">
        <v>79.22724</v>
      </c>
      <c r="AG108" s="34">
        <f t="shared" si="15"/>
        <v>240.552351</v>
      </c>
      <c r="AH108" s="33">
        <v>82.14221</v>
      </c>
      <c r="AI108" s="34">
        <f t="shared" si="16"/>
        <v>63.18342633</v>
      </c>
      <c r="AJ108" s="33">
        <v>69.10804</v>
      </c>
      <c r="AK108" s="34">
        <f t="shared" si="17"/>
        <v>137.5928997</v>
      </c>
      <c r="AL108" s="33">
        <v>72.61174</v>
      </c>
      <c r="AM108" s="34">
        <f t="shared" si="18"/>
        <v>302.5169393</v>
      </c>
    </row>
    <row r="109">
      <c r="A109" s="32">
        <v>45937.0</v>
      </c>
      <c r="B109" s="33">
        <v>75.73464</v>
      </c>
      <c r="C109" s="34">
        <f t="shared" si="19"/>
        <v>141.9447475</v>
      </c>
      <c r="D109" s="33">
        <v>70.16692</v>
      </c>
      <c r="E109" s="34">
        <f t="shared" si="1"/>
        <v>92.89974752</v>
      </c>
      <c r="F109" s="33">
        <v>68.73316</v>
      </c>
      <c r="G109" s="34">
        <f t="shared" si="2"/>
        <v>245.23797</v>
      </c>
      <c r="H109" s="33">
        <v>73.10407</v>
      </c>
      <c r="I109" s="34">
        <f t="shared" si="3"/>
        <v>394.3577598</v>
      </c>
      <c r="J109" s="33">
        <v>69.00297</v>
      </c>
      <c r="K109" s="34">
        <f t="shared" si="4"/>
        <v>210.4859076</v>
      </c>
      <c r="L109" s="33">
        <v>81.6794</v>
      </c>
      <c r="M109" s="34">
        <f t="shared" si="5"/>
        <v>185.1561446</v>
      </c>
      <c r="N109" s="33">
        <v>69.53982</v>
      </c>
      <c r="O109" s="34">
        <f t="shared" si="6"/>
        <v>190.3447214</v>
      </c>
      <c r="P109" s="33">
        <v>70.40372</v>
      </c>
      <c r="Q109" s="34">
        <f t="shared" si="7"/>
        <v>205.5059652</v>
      </c>
      <c r="R109" s="33">
        <v>69.83458</v>
      </c>
      <c r="S109" s="34">
        <f t="shared" si="8"/>
        <v>44.3272332</v>
      </c>
      <c r="T109" s="33">
        <v>74.56392</v>
      </c>
      <c r="U109" s="34">
        <f t="shared" si="9"/>
        <v>262.2011218</v>
      </c>
      <c r="V109" s="33">
        <v>76.52331</v>
      </c>
      <c r="W109" s="34">
        <f t="shared" si="10"/>
        <v>173.4979068</v>
      </c>
      <c r="X109" s="33">
        <v>77.14055</v>
      </c>
      <c r="Y109" s="34">
        <f t="shared" si="11"/>
        <v>156.314632</v>
      </c>
      <c r="Z109" s="33">
        <v>64.43466</v>
      </c>
      <c r="AA109" s="34">
        <f t="shared" si="12"/>
        <v>245.9817859</v>
      </c>
      <c r="AB109" s="33">
        <v>69.11758</v>
      </c>
      <c r="AC109" s="34">
        <f t="shared" si="13"/>
        <v>157.6037332</v>
      </c>
      <c r="AD109" s="33">
        <v>80.10571</v>
      </c>
      <c r="AE109" s="34">
        <f t="shared" si="14"/>
        <v>360.5590626</v>
      </c>
      <c r="AF109" s="33">
        <v>80.65568</v>
      </c>
      <c r="AG109" s="34">
        <f t="shared" si="15"/>
        <v>248.013777</v>
      </c>
      <c r="AH109" s="33">
        <v>78.82567</v>
      </c>
      <c r="AI109" s="34">
        <f t="shared" si="16"/>
        <v>66.28880142</v>
      </c>
      <c r="AJ109" s="33">
        <v>69.02616</v>
      </c>
      <c r="AK109" s="34">
        <f t="shared" si="17"/>
        <v>154.0162883</v>
      </c>
      <c r="AL109" s="33">
        <v>69.75599</v>
      </c>
      <c r="AM109" s="34">
        <f t="shared" si="18"/>
        <v>319.9139507</v>
      </c>
    </row>
    <row r="110">
      <c r="A110" s="32">
        <v>45938.0</v>
      </c>
      <c r="B110" s="33">
        <v>97.92898</v>
      </c>
      <c r="C110" s="34">
        <f t="shared" si="19"/>
        <v>150.9631919</v>
      </c>
      <c r="D110" s="33">
        <v>91.34174</v>
      </c>
      <c r="E110" s="34">
        <f t="shared" si="1"/>
        <v>107.5607682</v>
      </c>
      <c r="F110" s="33">
        <v>77.66899</v>
      </c>
      <c r="G110" s="34">
        <f t="shared" si="2"/>
        <v>254.4285343</v>
      </c>
      <c r="H110" s="33">
        <v>72.63067</v>
      </c>
      <c r="I110" s="34">
        <f t="shared" si="3"/>
        <v>410.2871943</v>
      </c>
      <c r="J110" s="33">
        <v>70.33355</v>
      </c>
      <c r="K110" s="34">
        <f t="shared" si="4"/>
        <v>225.0513838</v>
      </c>
      <c r="L110" s="33">
        <v>84.61052</v>
      </c>
      <c r="M110" s="34">
        <f t="shared" si="5"/>
        <v>187.6961018</v>
      </c>
      <c r="N110" s="33">
        <v>73.34185</v>
      </c>
      <c r="O110" s="34">
        <f t="shared" si="6"/>
        <v>200.5139886</v>
      </c>
      <c r="P110" s="33">
        <v>74.15163</v>
      </c>
      <c r="Q110" s="34">
        <f t="shared" si="7"/>
        <v>215.7617549</v>
      </c>
      <c r="R110" s="33">
        <v>70.7583</v>
      </c>
      <c r="S110" s="36">
        <f t="shared" si="8"/>
        <v>58.34886804</v>
      </c>
      <c r="T110" s="33">
        <v>72.37741</v>
      </c>
      <c r="U110" s="34">
        <f t="shared" si="9"/>
        <v>277.3264808</v>
      </c>
      <c r="V110" s="33">
        <v>80.77624</v>
      </c>
      <c r="W110" s="34">
        <f t="shared" si="10"/>
        <v>180.353098</v>
      </c>
      <c r="X110" s="33">
        <v>79.42373</v>
      </c>
      <c r="Y110" s="34">
        <f t="shared" si="11"/>
        <v>162.3674312</v>
      </c>
      <c r="Z110" s="33">
        <v>70.53281</v>
      </c>
      <c r="AA110" s="34">
        <f t="shared" si="12"/>
        <v>260.3138548</v>
      </c>
      <c r="AB110" s="33">
        <v>72.36251</v>
      </c>
      <c r="AC110" s="34">
        <f t="shared" si="13"/>
        <v>174.2391573</v>
      </c>
      <c r="AD110" s="33">
        <v>74.28927</v>
      </c>
      <c r="AE110" s="34">
        <f t="shared" si="14"/>
        <v>377.1452539</v>
      </c>
      <c r="AF110" s="33">
        <v>68.22398</v>
      </c>
      <c r="AG110" s="34">
        <f t="shared" si="15"/>
        <v>267.9069031</v>
      </c>
      <c r="AH110" s="33">
        <v>73.14391</v>
      </c>
      <c r="AI110" s="34">
        <f t="shared" si="16"/>
        <v>75.07593651</v>
      </c>
      <c r="AJ110" s="33">
        <v>75.89067</v>
      </c>
      <c r="AK110" s="34">
        <f t="shared" si="17"/>
        <v>163.5751669</v>
      </c>
      <c r="AL110" s="33">
        <v>74.87035</v>
      </c>
      <c r="AM110" s="34">
        <f t="shared" si="18"/>
        <v>332.196602</v>
      </c>
    </row>
    <row r="111">
      <c r="A111" s="32">
        <v>45939.0</v>
      </c>
      <c r="B111" s="33">
        <v>79.4271</v>
      </c>
      <c r="C111" s="34">
        <f t="shared" si="19"/>
        <v>159.4802264</v>
      </c>
      <c r="D111" s="33">
        <v>72.09525</v>
      </c>
      <c r="E111" s="34">
        <f t="shared" si="1"/>
        <v>101.0469688</v>
      </c>
      <c r="F111" s="33">
        <v>74.81644</v>
      </c>
      <c r="G111" s="34">
        <f t="shared" si="2"/>
        <v>266.4716486</v>
      </c>
      <c r="H111" s="33">
        <v>61.60197</v>
      </c>
      <c r="I111" s="34">
        <f t="shared" si="3"/>
        <v>437.2453288</v>
      </c>
      <c r="J111" s="33">
        <v>79.02443</v>
      </c>
      <c r="K111" s="34">
        <f t="shared" si="4"/>
        <v>230.9259801</v>
      </c>
      <c r="L111" s="33">
        <v>73.98144</v>
      </c>
      <c r="M111" s="34">
        <f t="shared" si="5"/>
        <v>200.8651391</v>
      </c>
      <c r="N111" s="33">
        <v>72.67626</v>
      </c>
      <c r="O111" s="34">
        <f t="shared" si="6"/>
        <v>211.3488459</v>
      </c>
      <c r="P111" s="33">
        <v>73.09168</v>
      </c>
      <c r="Q111" s="34">
        <f t="shared" si="7"/>
        <v>227.0774947</v>
      </c>
      <c r="R111" s="33">
        <v>71.74247</v>
      </c>
      <c r="S111" s="34">
        <f t="shared" si="8"/>
        <v>71.38633287</v>
      </c>
      <c r="T111" s="33">
        <v>70.78646</v>
      </c>
      <c r="U111" s="34">
        <f t="shared" si="9"/>
        <v>294.0427898</v>
      </c>
      <c r="V111" s="33">
        <v>82.72414</v>
      </c>
      <c r="W111" s="34">
        <f t="shared" si="10"/>
        <v>185.2603893</v>
      </c>
      <c r="X111" s="33">
        <v>74.15799</v>
      </c>
      <c r="Y111" s="34">
        <f t="shared" si="11"/>
        <v>173.6859704</v>
      </c>
      <c r="Z111" s="33">
        <v>78.18346</v>
      </c>
      <c r="AA111" s="34">
        <f t="shared" si="12"/>
        <v>266.9952737</v>
      </c>
      <c r="AB111" s="33">
        <v>79.56441</v>
      </c>
      <c r="AC111" s="34">
        <f t="shared" si="13"/>
        <v>183.6726814</v>
      </c>
      <c r="AD111" s="33">
        <v>76.68337</v>
      </c>
      <c r="AE111" s="34">
        <f t="shared" si="14"/>
        <v>391.3373452</v>
      </c>
      <c r="AF111" s="33">
        <v>62.93406</v>
      </c>
      <c r="AG111" s="34">
        <f t="shared" si="15"/>
        <v>293.0899491</v>
      </c>
      <c r="AH111" s="33">
        <v>73.15382</v>
      </c>
      <c r="AI111" s="34">
        <f t="shared" si="16"/>
        <v>83.8531616</v>
      </c>
      <c r="AJ111" s="33">
        <v>84.18465</v>
      </c>
      <c r="AK111" s="34">
        <f t="shared" si="17"/>
        <v>164.8400655</v>
      </c>
      <c r="AL111" s="33">
        <v>79.43815</v>
      </c>
      <c r="AM111" s="34">
        <f t="shared" si="18"/>
        <v>339.9114534</v>
      </c>
    </row>
    <row r="112">
      <c r="A112" s="32">
        <v>45940.0</v>
      </c>
      <c r="B112" s="33">
        <v>81.93967</v>
      </c>
      <c r="C112" s="34">
        <f t="shared" si="19"/>
        <v>145.8029208</v>
      </c>
      <c r="D112" s="33">
        <v>74.05758</v>
      </c>
      <c r="E112" s="34">
        <f t="shared" si="1"/>
        <v>113.7796595</v>
      </c>
      <c r="F112" s="33">
        <v>74.77611</v>
      </c>
      <c r="G112" s="34">
        <f t="shared" si="2"/>
        <v>278.5550928</v>
      </c>
      <c r="H112" s="33">
        <v>59.06771</v>
      </c>
      <c r="I112" s="34">
        <f t="shared" si="3"/>
        <v>466.7377232</v>
      </c>
      <c r="J112" s="33">
        <v>74.68715</v>
      </c>
      <c r="K112" s="34">
        <f t="shared" si="4"/>
        <v>241.1378563</v>
      </c>
      <c r="L112" s="33">
        <v>75.3788</v>
      </c>
      <c r="M112" s="34">
        <f t="shared" si="5"/>
        <v>212.6368164</v>
      </c>
      <c r="N112" s="33">
        <v>80.11502</v>
      </c>
      <c r="O112" s="34">
        <f t="shared" si="6"/>
        <v>214.7449431</v>
      </c>
      <c r="P112" s="33">
        <v>77.35838</v>
      </c>
      <c r="Q112" s="34">
        <f t="shared" si="7"/>
        <v>234.1265345</v>
      </c>
      <c r="R112" s="33">
        <v>75.33646</v>
      </c>
      <c r="S112" s="34">
        <f t="shared" si="8"/>
        <v>80.82980771</v>
      </c>
      <c r="T112" s="33">
        <v>81.68328</v>
      </c>
      <c r="U112" s="34">
        <f t="shared" si="9"/>
        <v>299.8622787</v>
      </c>
      <c r="V112" s="33">
        <v>84.95568</v>
      </c>
      <c r="W112" s="34">
        <f t="shared" si="10"/>
        <v>187.9361406</v>
      </c>
      <c r="X112" s="33">
        <v>77.61334</v>
      </c>
      <c r="Y112" s="34">
        <f t="shared" si="11"/>
        <v>181.5491596</v>
      </c>
      <c r="Z112" s="33">
        <v>85.28014</v>
      </c>
      <c r="AA112" s="34">
        <f t="shared" si="12"/>
        <v>266.5800126</v>
      </c>
      <c r="AB112" s="33">
        <v>81.91584</v>
      </c>
      <c r="AC112" s="34">
        <f t="shared" si="13"/>
        <v>190.7547755</v>
      </c>
      <c r="AD112" s="33">
        <v>72.05935</v>
      </c>
      <c r="AE112" s="34">
        <f t="shared" si="14"/>
        <v>410.1534565</v>
      </c>
      <c r="AF112" s="33">
        <v>66.20921</v>
      </c>
      <c r="AG112" s="34">
        <f t="shared" si="15"/>
        <v>314.9978452</v>
      </c>
      <c r="AH112" s="33">
        <v>73.58118</v>
      </c>
      <c r="AI112" s="34">
        <f t="shared" si="16"/>
        <v>92.20302668</v>
      </c>
      <c r="AJ112" s="33">
        <v>84.68715</v>
      </c>
      <c r="AK112" s="34">
        <f t="shared" si="17"/>
        <v>165.6024641</v>
      </c>
      <c r="AL112" s="33">
        <v>79.66666</v>
      </c>
      <c r="AM112" s="34">
        <f t="shared" si="18"/>
        <v>347.3977947</v>
      </c>
    </row>
    <row r="113">
      <c r="A113" s="32">
        <v>45941.0</v>
      </c>
      <c r="B113" s="33">
        <v>79.04836</v>
      </c>
      <c r="C113" s="34">
        <f t="shared" si="19"/>
        <v>150.6274952</v>
      </c>
      <c r="D113" s="33">
        <v>71.03956</v>
      </c>
      <c r="E113" s="34">
        <f t="shared" si="1"/>
        <v>124.5500201</v>
      </c>
      <c r="F113" s="33">
        <v>72.32002</v>
      </c>
      <c r="G113" s="34">
        <f t="shared" si="2"/>
        <v>293.0946271</v>
      </c>
      <c r="H113" s="33">
        <v>62.43925</v>
      </c>
      <c r="I113" s="34">
        <f t="shared" si="3"/>
        <v>492.8585777</v>
      </c>
      <c r="J113" s="33">
        <v>74.45123</v>
      </c>
      <c r="K113" s="34">
        <f t="shared" si="4"/>
        <v>251.5856526</v>
      </c>
      <c r="L113" s="33">
        <v>73.17598</v>
      </c>
      <c r="M113" s="34">
        <f t="shared" si="5"/>
        <v>226.6113137</v>
      </c>
      <c r="N113" s="33">
        <v>78.92511</v>
      </c>
      <c r="O113" s="34">
        <f t="shared" si="6"/>
        <v>219.3309503</v>
      </c>
      <c r="P113" s="33">
        <v>75.43825</v>
      </c>
      <c r="Q113" s="34">
        <f t="shared" si="7"/>
        <v>243.0957042</v>
      </c>
      <c r="R113" s="33">
        <v>80.39657</v>
      </c>
      <c r="S113" s="34">
        <f t="shared" si="8"/>
        <v>85.21317255</v>
      </c>
      <c r="T113" s="33">
        <v>84.5182</v>
      </c>
      <c r="U113" s="34">
        <f t="shared" si="9"/>
        <v>302.8468477</v>
      </c>
      <c r="V113" s="33">
        <v>85.68805</v>
      </c>
      <c r="W113" s="34">
        <f t="shared" si="10"/>
        <v>189.8795218</v>
      </c>
      <c r="X113" s="33">
        <v>77.43531</v>
      </c>
      <c r="Y113" s="34">
        <f t="shared" si="11"/>
        <v>189.5903788</v>
      </c>
      <c r="Z113" s="33">
        <v>78.30017</v>
      </c>
      <c r="AA113" s="34">
        <f t="shared" si="12"/>
        <v>273.1447215</v>
      </c>
      <c r="AB113" s="33">
        <v>87.20609</v>
      </c>
      <c r="AC113" s="34">
        <f t="shared" si="13"/>
        <v>192.5466196</v>
      </c>
      <c r="AD113" s="33">
        <v>70.84591</v>
      </c>
      <c r="AE113" s="34">
        <f t="shared" si="14"/>
        <v>430.1830078</v>
      </c>
      <c r="AF113" s="33">
        <v>71.79004</v>
      </c>
      <c r="AG113" s="34">
        <f t="shared" si="15"/>
        <v>331.3249113</v>
      </c>
      <c r="AH113" s="33">
        <v>78.1578</v>
      </c>
      <c r="AI113" s="34">
        <f t="shared" si="16"/>
        <v>95.97627177</v>
      </c>
      <c r="AJ113" s="33">
        <v>84.70744</v>
      </c>
      <c r="AK113" s="34">
        <f t="shared" si="17"/>
        <v>166.3445728</v>
      </c>
      <c r="AL113" s="33">
        <v>73.08558</v>
      </c>
      <c r="AM113" s="34">
        <f t="shared" si="18"/>
        <v>361.4652161</v>
      </c>
    </row>
    <row r="114">
      <c r="A114" s="32">
        <v>45942.0</v>
      </c>
      <c r="B114" s="33">
        <v>81.01147</v>
      </c>
      <c r="C114" s="34">
        <f t="shared" si="19"/>
        <v>152.9394996</v>
      </c>
      <c r="D114" s="33">
        <v>74.60169</v>
      </c>
      <c r="E114" s="34">
        <f t="shared" si="1"/>
        <v>138.3384008</v>
      </c>
      <c r="F114" s="33">
        <v>70.97602</v>
      </c>
      <c r="G114" s="34">
        <f t="shared" si="2"/>
        <v>308.9781614</v>
      </c>
      <c r="H114" s="33">
        <v>65.95424</v>
      </c>
      <c r="I114" s="34">
        <f t="shared" si="3"/>
        <v>515.4644422</v>
      </c>
      <c r="J114" s="33">
        <v>72.34897</v>
      </c>
      <c r="K114" s="34">
        <f t="shared" si="4"/>
        <v>264.1357088</v>
      </c>
      <c r="L114" s="33">
        <v>74.98044</v>
      </c>
      <c r="M114" s="34">
        <f t="shared" si="5"/>
        <v>238.7813509</v>
      </c>
      <c r="N114" s="33">
        <v>69.88479</v>
      </c>
      <c r="O114" s="34">
        <f t="shared" si="6"/>
        <v>232.9572776</v>
      </c>
      <c r="P114" s="33">
        <v>80.43037</v>
      </c>
      <c r="Q114" s="34">
        <f t="shared" si="7"/>
        <v>247.072754</v>
      </c>
      <c r="R114" s="33">
        <v>83.51197</v>
      </c>
      <c r="S114" s="34">
        <f t="shared" si="8"/>
        <v>86.48113738</v>
      </c>
      <c r="T114" s="33">
        <v>81.23291</v>
      </c>
      <c r="U114" s="34">
        <f t="shared" si="9"/>
        <v>309.1167067</v>
      </c>
      <c r="V114" s="33">
        <v>71.8254</v>
      </c>
      <c r="W114" s="34">
        <f t="shared" si="10"/>
        <v>205.6855531</v>
      </c>
      <c r="X114" s="33">
        <v>80.29448</v>
      </c>
      <c r="Y114" s="34">
        <f t="shared" si="11"/>
        <v>194.772428</v>
      </c>
      <c r="Z114" s="33">
        <v>79.10929</v>
      </c>
      <c r="AA114" s="34">
        <f t="shared" si="12"/>
        <v>278.9003104</v>
      </c>
      <c r="AB114" s="33">
        <v>85.57657</v>
      </c>
      <c r="AC114" s="34">
        <f t="shared" si="13"/>
        <v>195.9679837</v>
      </c>
      <c r="AD114" s="33">
        <v>65.22364</v>
      </c>
      <c r="AE114" s="34">
        <f t="shared" si="14"/>
        <v>455.8348291</v>
      </c>
      <c r="AF114" s="33">
        <v>75.03907</v>
      </c>
      <c r="AG114" s="34">
        <f t="shared" si="15"/>
        <v>344.4029473</v>
      </c>
      <c r="AH114" s="33">
        <v>80.00063</v>
      </c>
      <c r="AI114" s="34">
        <f t="shared" si="16"/>
        <v>97.90668686</v>
      </c>
      <c r="AJ114" s="33">
        <v>86.88127</v>
      </c>
      <c r="AK114" s="34">
        <f t="shared" si="17"/>
        <v>164.9128514</v>
      </c>
      <c r="AL114" s="33">
        <v>73.67625</v>
      </c>
      <c r="AM114" s="34">
        <f t="shared" si="18"/>
        <v>374.9419674</v>
      </c>
    </row>
    <row r="115">
      <c r="A115" s="32">
        <v>45943.0</v>
      </c>
      <c r="B115" s="33">
        <v>83.66114</v>
      </c>
      <c r="C115" s="34">
        <f t="shared" si="19"/>
        <v>158.1428141</v>
      </c>
      <c r="D115" s="33">
        <v>80.47821</v>
      </c>
      <c r="E115" s="34">
        <f t="shared" si="1"/>
        <v>148.5646514</v>
      </c>
      <c r="F115" s="33">
        <v>72.71636</v>
      </c>
      <c r="G115" s="34">
        <f t="shared" si="2"/>
        <v>323.1213557</v>
      </c>
      <c r="H115" s="33">
        <v>71.35829</v>
      </c>
      <c r="I115" s="34">
        <f t="shared" si="3"/>
        <v>532.6662566</v>
      </c>
      <c r="J115" s="33">
        <v>76.11014</v>
      </c>
      <c r="K115" s="34">
        <f t="shared" si="4"/>
        <v>272.9245951</v>
      </c>
      <c r="L115" s="33">
        <v>80.17191</v>
      </c>
      <c r="M115" s="34">
        <f t="shared" si="5"/>
        <v>245.7599182</v>
      </c>
      <c r="N115" s="33">
        <v>72.32017</v>
      </c>
      <c r="O115" s="34">
        <f t="shared" si="6"/>
        <v>244.1482248</v>
      </c>
      <c r="P115" s="33">
        <v>72.07342</v>
      </c>
      <c r="Q115" s="34">
        <f t="shared" si="7"/>
        <v>259.4067538</v>
      </c>
      <c r="R115" s="33">
        <v>73.64277</v>
      </c>
      <c r="S115" s="34">
        <f t="shared" si="8"/>
        <v>97.61830222</v>
      </c>
      <c r="T115" s="33">
        <v>73.61245</v>
      </c>
      <c r="U115" s="34">
        <f t="shared" si="9"/>
        <v>323.0070256</v>
      </c>
      <c r="V115" s="33">
        <v>70.7928</v>
      </c>
      <c r="W115" s="34">
        <f t="shared" si="10"/>
        <v>222.5241844</v>
      </c>
      <c r="X115" s="33">
        <v>77.61082</v>
      </c>
      <c r="Y115" s="34">
        <f t="shared" si="11"/>
        <v>202.6381372</v>
      </c>
      <c r="Z115" s="33">
        <v>70.50576</v>
      </c>
      <c r="AA115" s="34">
        <f t="shared" si="12"/>
        <v>293.2594293</v>
      </c>
      <c r="AB115" s="33">
        <v>85.25701</v>
      </c>
      <c r="AC115" s="34">
        <f t="shared" si="13"/>
        <v>199.7089078</v>
      </c>
      <c r="AD115" s="33">
        <v>73.79887</v>
      </c>
      <c r="AE115" s="34">
        <f t="shared" si="14"/>
        <v>472.9114204</v>
      </c>
      <c r="AF115" s="33">
        <v>79.48784</v>
      </c>
      <c r="AG115" s="34">
        <f t="shared" si="15"/>
        <v>353.0322134</v>
      </c>
      <c r="AH115" s="33">
        <v>80.70242</v>
      </c>
      <c r="AI115" s="34">
        <f t="shared" si="16"/>
        <v>99.13531195</v>
      </c>
      <c r="AJ115" s="33">
        <v>85.74193</v>
      </c>
      <c r="AK115" s="34">
        <f t="shared" si="17"/>
        <v>164.62047</v>
      </c>
      <c r="AL115" s="33">
        <v>75.55797</v>
      </c>
      <c r="AM115" s="34">
        <f t="shared" si="18"/>
        <v>386.5369988</v>
      </c>
    </row>
    <row r="116">
      <c r="A116" s="32">
        <v>45944.0</v>
      </c>
      <c r="B116" s="33">
        <v>87.20402</v>
      </c>
      <c r="C116" s="34">
        <f t="shared" si="19"/>
        <v>161.3830185</v>
      </c>
      <c r="D116" s="33">
        <v>81.51154</v>
      </c>
      <c r="E116" s="34">
        <f t="shared" si="1"/>
        <v>152.9143821</v>
      </c>
      <c r="F116" s="33">
        <v>68.77175</v>
      </c>
      <c r="G116" s="34">
        <f t="shared" si="2"/>
        <v>341.20916</v>
      </c>
      <c r="H116" s="33">
        <v>78.74796</v>
      </c>
      <c r="I116" s="34">
        <f t="shared" si="3"/>
        <v>542.4784011</v>
      </c>
      <c r="J116" s="33">
        <v>80.77681</v>
      </c>
      <c r="K116" s="34">
        <f t="shared" si="4"/>
        <v>277.0468113</v>
      </c>
      <c r="L116" s="33">
        <v>81.19098</v>
      </c>
      <c r="M116" s="34">
        <f t="shared" si="5"/>
        <v>251.7194155</v>
      </c>
      <c r="N116" s="33">
        <v>75.32337</v>
      </c>
      <c r="O116" s="34">
        <f t="shared" si="6"/>
        <v>252.335972</v>
      </c>
      <c r="P116" s="33">
        <v>65.34888</v>
      </c>
      <c r="Q116" s="34">
        <f t="shared" si="7"/>
        <v>278.4652935</v>
      </c>
      <c r="R116" s="33">
        <v>75.68689</v>
      </c>
      <c r="S116" s="34">
        <f t="shared" si="8"/>
        <v>106.7113471</v>
      </c>
      <c r="T116" s="33">
        <v>65.53957</v>
      </c>
      <c r="U116" s="34">
        <f t="shared" si="9"/>
        <v>344.9702246</v>
      </c>
      <c r="V116" s="33">
        <v>75.70863</v>
      </c>
      <c r="W116" s="34">
        <f t="shared" si="10"/>
        <v>234.4469856</v>
      </c>
      <c r="X116" s="33">
        <v>79.80876</v>
      </c>
      <c r="Y116" s="34">
        <f t="shared" si="11"/>
        <v>208.3059064</v>
      </c>
      <c r="Z116" s="33">
        <v>74.92618</v>
      </c>
      <c r="AA116" s="34">
        <f t="shared" si="12"/>
        <v>303.1981281</v>
      </c>
      <c r="AB116" s="33">
        <v>82.13486</v>
      </c>
      <c r="AC116" s="34">
        <f t="shared" si="13"/>
        <v>206.5719819</v>
      </c>
      <c r="AD116" s="33">
        <v>73.46367</v>
      </c>
      <c r="AE116" s="34">
        <f t="shared" si="14"/>
        <v>490.3232117</v>
      </c>
      <c r="AF116" s="33">
        <v>76.75924</v>
      </c>
      <c r="AG116" s="34">
        <f t="shared" si="15"/>
        <v>364.3900795</v>
      </c>
      <c r="AH116" s="33">
        <v>82.79972</v>
      </c>
      <c r="AI116" s="34">
        <f t="shared" si="16"/>
        <v>98.26663704</v>
      </c>
      <c r="AJ116" s="33">
        <v>84.98799</v>
      </c>
      <c r="AK116" s="34">
        <f t="shared" si="17"/>
        <v>165.0820286</v>
      </c>
      <c r="AL116" s="33">
        <v>76.93396</v>
      </c>
      <c r="AM116" s="34">
        <f t="shared" si="18"/>
        <v>396.7560401</v>
      </c>
    </row>
    <row r="117">
      <c r="A117" s="32">
        <v>45945.0</v>
      </c>
      <c r="B117" s="33">
        <v>76.49648</v>
      </c>
      <c r="C117" s="34">
        <f t="shared" si="19"/>
        <v>161.9735529</v>
      </c>
      <c r="D117" s="33">
        <v>80.40321</v>
      </c>
      <c r="E117" s="34">
        <f t="shared" si="1"/>
        <v>156.2307827</v>
      </c>
      <c r="F117" s="33">
        <v>77.167</v>
      </c>
      <c r="G117" s="34">
        <f t="shared" si="2"/>
        <v>350.9017143</v>
      </c>
      <c r="H117" s="33">
        <v>78.34691</v>
      </c>
      <c r="I117" s="34">
        <f t="shared" si="3"/>
        <v>552.6915956</v>
      </c>
      <c r="J117" s="33">
        <v>79.54304</v>
      </c>
      <c r="K117" s="34">
        <f t="shared" si="4"/>
        <v>282.4027976</v>
      </c>
      <c r="L117" s="33">
        <v>75.31726</v>
      </c>
      <c r="M117" s="34">
        <f t="shared" si="5"/>
        <v>263.5526328</v>
      </c>
      <c r="N117" s="33">
        <v>78.85352</v>
      </c>
      <c r="O117" s="34">
        <f t="shared" si="6"/>
        <v>256.9935693</v>
      </c>
      <c r="P117" s="33">
        <v>62.90333</v>
      </c>
      <c r="Q117" s="34">
        <f t="shared" si="7"/>
        <v>299.9693833</v>
      </c>
      <c r="R117" s="33">
        <v>76.62933</v>
      </c>
      <c r="S117" s="34">
        <f t="shared" si="8"/>
        <v>114.8619519</v>
      </c>
      <c r="T117" s="33">
        <v>67.25265</v>
      </c>
      <c r="U117" s="34">
        <f t="shared" si="9"/>
        <v>365.2203436</v>
      </c>
      <c r="V117" s="33">
        <v>76.49788</v>
      </c>
      <c r="W117" s="34">
        <f t="shared" si="10"/>
        <v>245.5805369</v>
      </c>
      <c r="X117" s="33">
        <v>79.04255</v>
      </c>
      <c r="Y117" s="34">
        <f t="shared" si="11"/>
        <v>214.7398856</v>
      </c>
      <c r="Z117" s="33">
        <v>68.50683</v>
      </c>
      <c r="AA117" s="34">
        <f t="shared" si="12"/>
        <v>319.556177</v>
      </c>
      <c r="AB117" s="33">
        <v>75.87814</v>
      </c>
      <c r="AC117" s="34">
        <f t="shared" si="13"/>
        <v>219.6917759</v>
      </c>
      <c r="AD117" s="33">
        <v>77.96724</v>
      </c>
      <c r="AE117" s="34">
        <f t="shared" si="14"/>
        <v>503.2314329</v>
      </c>
      <c r="AF117" s="33">
        <v>78.76582</v>
      </c>
      <c r="AG117" s="34">
        <f t="shared" si="15"/>
        <v>373.7413655</v>
      </c>
      <c r="AH117" s="33">
        <v>80.38823</v>
      </c>
      <c r="AI117" s="34">
        <f t="shared" si="16"/>
        <v>99.80945213</v>
      </c>
      <c r="AJ117" s="33">
        <v>78.41254</v>
      </c>
      <c r="AK117" s="34">
        <f t="shared" si="17"/>
        <v>172.1190372</v>
      </c>
      <c r="AL117" s="33">
        <v>77.78777</v>
      </c>
      <c r="AM117" s="34">
        <f t="shared" si="18"/>
        <v>406.1212715</v>
      </c>
    </row>
    <row r="118">
      <c r="A118" s="32">
        <v>45946.0</v>
      </c>
      <c r="B118" s="33">
        <v>66.57824</v>
      </c>
      <c r="C118" s="34">
        <f t="shared" si="19"/>
        <v>159.0212073</v>
      </c>
      <c r="D118" s="33">
        <v>79.30914</v>
      </c>
      <c r="E118" s="34">
        <f t="shared" si="1"/>
        <v>160.6555134</v>
      </c>
      <c r="F118" s="33">
        <v>74.26582</v>
      </c>
      <c r="G118" s="34">
        <f t="shared" si="2"/>
        <v>363.4954486</v>
      </c>
      <c r="H118" s="33">
        <v>78.77145</v>
      </c>
      <c r="I118" s="34">
        <f t="shared" si="3"/>
        <v>562.48025</v>
      </c>
      <c r="J118" s="33">
        <v>78.40015</v>
      </c>
      <c r="K118" s="34">
        <f t="shared" si="4"/>
        <v>288.9016738</v>
      </c>
      <c r="L118" s="33">
        <v>62.55777</v>
      </c>
      <c r="M118" s="34">
        <f t="shared" si="5"/>
        <v>288.14534</v>
      </c>
      <c r="N118" s="33">
        <v>76.29711</v>
      </c>
      <c r="O118" s="34">
        <f t="shared" si="6"/>
        <v>264.2075765</v>
      </c>
      <c r="P118" s="33">
        <v>67.44024</v>
      </c>
      <c r="Q118" s="34">
        <f t="shared" si="7"/>
        <v>316.936563</v>
      </c>
      <c r="R118" s="33">
        <v>84.27571</v>
      </c>
      <c r="S118" s="34">
        <f t="shared" si="8"/>
        <v>115.3661767</v>
      </c>
      <c r="T118" s="33">
        <v>72.89344</v>
      </c>
      <c r="U118" s="34">
        <f t="shared" si="9"/>
        <v>379.8296725</v>
      </c>
      <c r="V118" s="33">
        <v>77.79146</v>
      </c>
      <c r="W118" s="34">
        <f t="shared" si="10"/>
        <v>255.4205082</v>
      </c>
      <c r="X118" s="33">
        <v>79.93965</v>
      </c>
      <c r="Y118" s="34">
        <f t="shared" si="11"/>
        <v>220.2767648</v>
      </c>
      <c r="Z118" s="33">
        <v>63.38101</v>
      </c>
      <c r="AA118" s="34">
        <f t="shared" si="12"/>
        <v>341.0400459</v>
      </c>
      <c r="AB118" s="33">
        <v>78.20298</v>
      </c>
      <c r="AC118" s="34">
        <f t="shared" si="13"/>
        <v>230.48673</v>
      </c>
      <c r="AD118" s="33">
        <v>79.3173</v>
      </c>
      <c r="AE118" s="34">
        <f t="shared" si="14"/>
        <v>514.7895942</v>
      </c>
      <c r="AF118" s="33">
        <v>78.16597</v>
      </c>
      <c r="AG118" s="34">
        <f t="shared" si="15"/>
        <v>383.6925016</v>
      </c>
      <c r="AH118" s="33">
        <v>72.25803</v>
      </c>
      <c r="AI118" s="34">
        <f t="shared" si="16"/>
        <v>109.4824672</v>
      </c>
      <c r="AJ118" s="33">
        <v>75.24182</v>
      </c>
      <c r="AK118" s="34">
        <f t="shared" si="17"/>
        <v>182.3267659</v>
      </c>
      <c r="AL118" s="33">
        <v>83.84604</v>
      </c>
      <c r="AM118" s="34">
        <f t="shared" si="18"/>
        <v>409.4282328</v>
      </c>
    </row>
    <row r="119">
      <c r="A119" s="32">
        <v>45947.0</v>
      </c>
      <c r="B119" s="33">
        <v>62.23394</v>
      </c>
      <c r="C119" s="34">
        <f t="shared" si="19"/>
        <v>166.7764018</v>
      </c>
      <c r="D119" s="33">
        <v>83.25716</v>
      </c>
      <c r="E119" s="34">
        <f t="shared" si="1"/>
        <v>166.174314</v>
      </c>
      <c r="F119" s="33">
        <v>79.83888</v>
      </c>
      <c r="G119" s="34">
        <f t="shared" si="2"/>
        <v>370.5161228</v>
      </c>
      <c r="H119" s="33">
        <v>82.80429</v>
      </c>
      <c r="I119" s="34">
        <f t="shared" si="3"/>
        <v>568.2360645</v>
      </c>
      <c r="J119" s="33">
        <v>69.92529</v>
      </c>
      <c r="K119" s="34">
        <f t="shared" si="4"/>
        <v>303.8754101</v>
      </c>
      <c r="L119" s="33">
        <v>68.57114</v>
      </c>
      <c r="M119" s="34">
        <f t="shared" si="5"/>
        <v>306.7246773</v>
      </c>
      <c r="N119" s="33">
        <v>75.4973</v>
      </c>
      <c r="O119" s="34">
        <f t="shared" si="6"/>
        <v>272.2213937</v>
      </c>
      <c r="P119" s="33">
        <v>71.1566</v>
      </c>
      <c r="Q119" s="34">
        <f t="shared" si="7"/>
        <v>330.1873828</v>
      </c>
      <c r="R119" s="33">
        <v>80.22816</v>
      </c>
      <c r="S119" s="34">
        <f t="shared" si="8"/>
        <v>119.9179516</v>
      </c>
      <c r="T119" s="33">
        <v>65.77761</v>
      </c>
      <c r="U119" s="34">
        <f t="shared" si="9"/>
        <v>401.5548315</v>
      </c>
      <c r="V119" s="33">
        <v>82.72396</v>
      </c>
      <c r="W119" s="34">
        <f t="shared" si="10"/>
        <v>260.3279794</v>
      </c>
      <c r="X119" s="33">
        <v>88.30556</v>
      </c>
      <c r="Y119" s="34">
        <f t="shared" si="11"/>
        <v>217.4477339</v>
      </c>
      <c r="Z119" s="33">
        <v>63.41339</v>
      </c>
      <c r="AA119" s="34">
        <f t="shared" si="12"/>
        <v>362.4915348</v>
      </c>
      <c r="AB119" s="33">
        <v>76.22848</v>
      </c>
      <c r="AC119" s="34">
        <f t="shared" si="13"/>
        <v>243.2561841</v>
      </c>
      <c r="AD119" s="33">
        <v>83.15989</v>
      </c>
      <c r="AE119" s="34">
        <f t="shared" si="14"/>
        <v>522.5051655</v>
      </c>
      <c r="AF119" s="33">
        <v>75.55706</v>
      </c>
      <c r="AG119" s="34">
        <f t="shared" si="15"/>
        <v>396.2525476</v>
      </c>
      <c r="AH119" s="33">
        <v>74.3189</v>
      </c>
      <c r="AI119" s="34">
        <f t="shared" si="16"/>
        <v>117.0946123</v>
      </c>
      <c r="AJ119" s="33">
        <v>71.826</v>
      </c>
      <c r="AK119" s="34">
        <f t="shared" si="17"/>
        <v>195.9503145</v>
      </c>
      <c r="AL119" s="33">
        <v>82.21082</v>
      </c>
      <c r="AM119" s="34">
        <f t="shared" si="18"/>
        <v>414.3704142</v>
      </c>
    </row>
    <row r="120">
      <c r="A120" s="32">
        <v>45948.0</v>
      </c>
      <c r="B120" s="33">
        <v>48.71918</v>
      </c>
      <c r="C120" s="34">
        <f t="shared" si="19"/>
        <v>184.4498362</v>
      </c>
      <c r="D120" s="33">
        <v>65.55492</v>
      </c>
      <c r="E120" s="34">
        <f t="shared" si="1"/>
        <v>167.7450947</v>
      </c>
      <c r="F120" s="33">
        <v>70.34012</v>
      </c>
      <c r="G120" s="34">
        <f t="shared" si="2"/>
        <v>387.0355571</v>
      </c>
      <c r="H120" s="33">
        <v>71.45083</v>
      </c>
      <c r="I120" s="34">
        <f t="shared" si="3"/>
        <v>585.345339</v>
      </c>
      <c r="J120" s="33">
        <v>56.26875</v>
      </c>
      <c r="K120" s="34">
        <f t="shared" si="4"/>
        <v>332.5056863</v>
      </c>
      <c r="L120" s="33">
        <v>62.19317</v>
      </c>
      <c r="M120" s="34">
        <f t="shared" si="5"/>
        <v>331.6819846</v>
      </c>
      <c r="N120" s="33">
        <v>69.38271</v>
      </c>
      <c r="O120" s="34">
        <f t="shared" si="6"/>
        <v>286.3498009</v>
      </c>
      <c r="P120" s="33">
        <v>74.25735</v>
      </c>
      <c r="Q120" s="34">
        <f t="shared" si="7"/>
        <v>340.3374526</v>
      </c>
      <c r="R120" s="33">
        <v>76.25186</v>
      </c>
      <c r="S120" s="34">
        <f t="shared" si="8"/>
        <v>128.4460264</v>
      </c>
      <c r="T120" s="33">
        <v>70.82246</v>
      </c>
      <c r="U120" s="34">
        <f t="shared" si="9"/>
        <v>418.2351405</v>
      </c>
      <c r="V120" s="33">
        <v>84.04018</v>
      </c>
      <c r="W120" s="34">
        <f t="shared" si="10"/>
        <v>263.9192307</v>
      </c>
      <c r="X120" s="33">
        <v>76.0006</v>
      </c>
      <c r="Y120" s="34">
        <f t="shared" si="11"/>
        <v>226.9236631</v>
      </c>
      <c r="Z120" s="33">
        <v>57.84688</v>
      </c>
      <c r="AA120" s="34">
        <f t="shared" si="12"/>
        <v>389.5095337</v>
      </c>
      <c r="AB120" s="33">
        <v>83.3871</v>
      </c>
      <c r="AC120" s="34">
        <f t="shared" si="13"/>
        <v>248.8670182</v>
      </c>
      <c r="AD120" s="33">
        <v>87.1022</v>
      </c>
      <c r="AE120" s="34">
        <f t="shared" si="14"/>
        <v>526.2784268</v>
      </c>
      <c r="AF120" s="33">
        <v>76.02097</v>
      </c>
      <c r="AG120" s="34">
        <f t="shared" si="15"/>
        <v>408.3486837</v>
      </c>
      <c r="AH120" s="33">
        <v>73.30811</v>
      </c>
      <c r="AI120" s="34">
        <f t="shared" si="16"/>
        <v>125.7175474</v>
      </c>
      <c r="AJ120" s="33">
        <v>78.17749</v>
      </c>
      <c r="AK120" s="34">
        <f t="shared" si="17"/>
        <v>203.2223731</v>
      </c>
      <c r="AL120" s="33">
        <v>72.89454</v>
      </c>
      <c r="AM120" s="34">
        <f t="shared" si="18"/>
        <v>428.6288755</v>
      </c>
    </row>
    <row r="121">
      <c r="A121" s="32">
        <v>45949.0</v>
      </c>
      <c r="B121" s="33">
        <v>55.83264</v>
      </c>
      <c r="C121" s="34">
        <f t="shared" si="19"/>
        <v>206.4675706</v>
      </c>
      <c r="D121" s="33">
        <v>70.34621</v>
      </c>
      <c r="E121" s="34">
        <f t="shared" si="1"/>
        <v>187.0181153</v>
      </c>
      <c r="F121" s="33">
        <v>67.17309</v>
      </c>
      <c r="G121" s="34">
        <f t="shared" si="2"/>
        <v>406.7220214</v>
      </c>
      <c r="H121" s="33">
        <v>73.11094</v>
      </c>
      <c r="I121" s="34">
        <f t="shared" si="3"/>
        <v>600.7945035</v>
      </c>
      <c r="J121" s="33">
        <v>55.5542</v>
      </c>
      <c r="K121" s="34">
        <f t="shared" si="4"/>
        <v>361.8505126</v>
      </c>
      <c r="L121" s="33">
        <v>61.84018</v>
      </c>
      <c r="M121" s="34">
        <f t="shared" si="5"/>
        <v>356.9922819</v>
      </c>
      <c r="N121" s="33">
        <v>66.30918</v>
      </c>
      <c r="O121" s="34">
        <f t="shared" si="6"/>
        <v>303.5517382</v>
      </c>
      <c r="P121" s="33">
        <v>71.65431</v>
      </c>
      <c r="Q121" s="34">
        <f t="shared" si="7"/>
        <v>353.0905623</v>
      </c>
      <c r="R121" s="33">
        <v>77.11121</v>
      </c>
      <c r="S121" s="34">
        <f t="shared" si="8"/>
        <v>136.1147512</v>
      </c>
      <c r="T121" s="33">
        <v>72.86829</v>
      </c>
      <c r="U121" s="34">
        <f t="shared" si="9"/>
        <v>432.8696194</v>
      </c>
      <c r="V121" s="33">
        <v>76.70326</v>
      </c>
      <c r="W121" s="34">
        <f t="shared" si="10"/>
        <v>274.8474019</v>
      </c>
      <c r="X121" s="33">
        <v>68.7097</v>
      </c>
      <c r="Y121" s="34">
        <f t="shared" si="11"/>
        <v>243.6904923</v>
      </c>
      <c r="Z121" s="33">
        <v>55.74443</v>
      </c>
      <c r="AA121" s="34">
        <f t="shared" si="12"/>
        <v>418.6299826</v>
      </c>
      <c r="AB121" s="33">
        <v>81.32127</v>
      </c>
      <c r="AC121" s="34">
        <f t="shared" si="13"/>
        <v>256.5436823</v>
      </c>
      <c r="AD121" s="33">
        <v>85.18715</v>
      </c>
      <c r="AE121" s="34">
        <f t="shared" si="14"/>
        <v>531.9667381</v>
      </c>
      <c r="AF121" s="33">
        <v>75.11746</v>
      </c>
      <c r="AG121" s="34">
        <f t="shared" si="15"/>
        <v>421.3483298</v>
      </c>
      <c r="AH121" s="33">
        <v>73.51647</v>
      </c>
      <c r="AI121" s="34">
        <f t="shared" si="16"/>
        <v>134.1321225</v>
      </c>
      <c r="AJ121" s="33">
        <v>74.98824</v>
      </c>
      <c r="AK121" s="34">
        <f t="shared" si="17"/>
        <v>213.6836817</v>
      </c>
      <c r="AL121" s="33">
        <v>66.6271</v>
      </c>
      <c r="AM121" s="34">
        <f t="shared" si="18"/>
        <v>449.1547769</v>
      </c>
    </row>
    <row r="122">
      <c r="A122" s="32">
        <v>45950.0</v>
      </c>
      <c r="B122" s="33">
        <v>69.54085</v>
      </c>
      <c r="C122" s="34">
        <f t="shared" si="19"/>
        <v>242.000065</v>
      </c>
      <c r="D122" s="33">
        <v>80.36262</v>
      </c>
      <c r="E122" s="34">
        <f t="shared" si="1"/>
        <v>201.499846</v>
      </c>
      <c r="F122" s="33">
        <v>65.10656</v>
      </c>
      <c r="G122" s="34">
        <f t="shared" si="2"/>
        <v>428.4750157</v>
      </c>
      <c r="H122" s="33">
        <v>70.91356</v>
      </c>
      <c r="I122" s="34">
        <f t="shared" si="3"/>
        <v>618.4410479</v>
      </c>
      <c r="J122" s="33">
        <v>64.10613</v>
      </c>
      <c r="K122" s="34">
        <f t="shared" si="4"/>
        <v>382.6434088</v>
      </c>
      <c r="L122" s="33">
        <v>65.27272</v>
      </c>
      <c r="M122" s="34">
        <f t="shared" si="5"/>
        <v>378.8700391</v>
      </c>
      <c r="N122" s="33">
        <v>69.12831</v>
      </c>
      <c r="O122" s="34">
        <f t="shared" si="6"/>
        <v>317.9345454</v>
      </c>
      <c r="P122" s="33">
        <v>66.35085</v>
      </c>
      <c r="Q122" s="34">
        <f t="shared" si="7"/>
        <v>371.1471321</v>
      </c>
      <c r="R122" s="33">
        <v>79.87476</v>
      </c>
      <c r="S122" s="34">
        <f t="shared" si="8"/>
        <v>141.0199261</v>
      </c>
      <c r="T122" s="33">
        <v>73.224</v>
      </c>
      <c r="U122" s="34">
        <f t="shared" si="9"/>
        <v>447.1483884</v>
      </c>
      <c r="V122" s="33">
        <v>72.96609</v>
      </c>
      <c r="W122" s="34">
        <f t="shared" si="10"/>
        <v>289.5127432</v>
      </c>
      <c r="X122" s="33">
        <v>63.56474</v>
      </c>
      <c r="Y122" s="34">
        <f t="shared" si="11"/>
        <v>265.6022815</v>
      </c>
      <c r="Z122" s="33">
        <v>57.82739</v>
      </c>
      <c r="AA122" s="34">
        <f t="shared" si="12"/>
        <v>445.6674715</v>
      </c>
      <c r="AB122" s="33">
        <v>81.41995</v>
      </c>
      <c r="AC122" s="34">
        <f t="shared" si="13"/>
        <v>264.1216664</v>
      </c>
      <c r="AD122" s="33">
        <v>71.73456</v>
      </c>
      <c r="AE122" s="34">
        <f t="shared" si="14"/>
        <v>551.1076394</v>
      </c>
      <c r="AF122" s="33">
        <v>73.44263</v>
      </c>
      <c r="AG122" s="34">
        <f t="shared" si="15"/>
        <v>436.0228058</v>
      </c>
      <c r="AH122" s="33">
        <v>66.22051</v>
      </c>
      <c r="AI122" s="34">
        <f t="shared" si="16"/>
        <v>149.8426576</v>
      </c>
      <c r="AJ122" s="33">
        <v>76.35744</v>
      </c>
      <c r="AK122" s="34">
        <f t="shared" si="17"/>
        <v>222.7757903</v>
      </c>
      <c r="AL122" s="33">
        <v>67.28402</v>
      </c>
      <c r="AM122" s="34">
        <f t="shared" si="18"/>
        <v>469.0237582</v>
      </c>
    </row>
    <row r="123">
      <c r="A123" s="32">
        <v>45951.0</v>
      </c>
      <c r="B123" s="33">
        <v>80.84814</v>
      </c>
      <c r="C123" s="34">
        <f t="shared" si="19"/>
        <v>270.4190995</v>
      </c>
      <c r="D123" s="33">
        <v>85.42681</v>
      </c>
      <c r="E123" s="34">
        <f t="shared" si="1"/>
        <v>205.9651666</v>
      </c>
      <c r="F123" s="33">
        <v>68.84402</v>
      </c>
      <c r="G123" s="34">
        <f t="shared" si="2"/>
        <v>446.49055</v>
      </c>
      <c r="H123" s="33">
        <v>79.46164</v>
      </c>
      <c r="I123" s="34">
        <f t="shared" si="3"/>
        <v>627.5395124</v>
      </c>
      <c r="J123" s="33">
        <v>77.08977</v>
      </c>
      <c r="K123" s="34">
        <f t="shared" si="4"/>
        <v>390.4526651</v>
      </c>
      <c r="L123" s="33">
        <v>74.26057</v>
      </c>
      <c r="M123" s="34">
        <f t="shared" si="5"/>
        <v>391.7599464</v>
      </c>
      <c r="N123" s="33">
        <v>76.54578</v>
      </c>
      <c r="O123" s="34">
        <f t="shared" si="6"/>
        <v>324.8998826</v>
      </c>
      <c r="P123" s="33">
        <v>70.67678</v>
      </c>
      <c r="Q123" s="34">
        <f t="shared" si="7"/>
        <v>384.8777718</v>
      </c>
      <c r="R123" s="33">
        <v>82.70073</v>
      </c>
      <c r="S123" s="34">
        <f t="shared" si="8"/>
        <v>143.0991309</v>
      </c>
      <c r="T123" s="33">
        <v>69.95789</v>
      </c>
      <c r="U123" s="34">
        <f t="shared" si="9"/>
        <v>464.6932674</v>
      </c>
      <c r="V123" s="33">
        <v>74.52852</v>
      </c>
      <c r="W123" s="34">
        <f t="shared" si="10"/>
        <v>302.6156545</v>
      </c>
      <c r="X123" s="33">
        <v>65.69692</v>
      </c>
      <c r="Y123" s="34">
        <f t="shared" si="11"/>
        <v>285.3818907</v>
      </c>
      <c r="Z123" s="33">
        <v>65.89353</v>
      </c>
      <c r="AA123" s="34">
        <f t="shared" si="12"/>
        <v>464.6388204</v>
      </c>
      <c r="AB123" s="33">
        <v>78.76664</v>
      </c>
      <c r="AC123" s="34">
        <f t="shared" si="13"/>
        <v>274.3529605</v>
      </c>
      <c r="AD123" s="33">
        <v>64.78199</v>
      </c>
      <c r="AE123" s="34">
        <f t="shared" si="14"/>
        <v>577.2011107</v>
      </c>
      <c r="AF123" s="33">
        <v>75.6131</v>
      </c>
      <c r="AG123" s="34">
        <f t="shared" si="15"/>
        <v>448.5268119</v>
      </c>
      <c r="AH123" s="33">
        <v>73.1034</v>
      </c>
      <c r="AI123" s="34">
        <f t="shared" si="16"/>
        <v>158.6703027</v>
      </c>
      <c r="AJ123" s="33">
        <v>77.48832</v>
      </c>
      <c r="AK123" s="34">
        <f t="shared" si="17"/>
        <v>230.737019</v>
      </c>
      <c r="AL123" s="33">
        <v>73.69847</v>
      </c>
      <c r="AM123" s="34">
        <f t="shared" si="18"/>
        <v>482.4782896</v>
      </c>
    </row>
    <row r="124">
      <c r="A124" s="32">
        <v>45952.0</v>
      </c>
      <c r="B124" s="33">
        <v>75.73753</v>
      </c>
      <c r="C124" s="34">
        <f t="shared" si="19"/>
        <v>285.1299239</v>
      </c>
      <c r="D124" s="33">
        <v>78.66071</v>
      </c>
      <c r="E124" s="34">
        <f t="shared" si="1"/>
        <v>205.3662972</v>
      </c>
      <c r="F124" s="33">
        <v>66.40577</v>
      </c>
      <c r="G124" s="34">
        <f t="shared" si="2"/>
        <v>466.9443343</v>
      </c>
      <c r="H124" s="33">
        <v>79.69846</v>
      </c>
      <c r="I124" s="34">
        <f t="shared" si="3"/>
        <v>636.4011569</v>
      </c>
      <c r="J124" s="33">
        <v>82.33572</v>
      </c>
      <c r="K124" s="34">
        <f t="shared" si="4"/>
        <v>393.0159713</v>
      </c>
      <c r="L124" s="33">
        <v>75.18913</v>
      </c>
      <c r="M124" s="34">
        <f t="shared" si="5"/>
        <v>403.7212937</v>
      </c>
      <c r="N124" s="33">
        <v>82.87844</v>
      </c>
      <c r="O124" s="34">
        <f t="shared" si="6"/>
        <v>325.5325599</v>
      </c>
      <c r="P124" s="33">
        <v>71.00583</v>
      </c>
      <c r="Q124" s="34">
        <f t="shared" si="7"/>
        <v>398.2793616</v>
      </c>
      <c r="R124" s="33">
        <v>79.63895</v>
      </c>
      <c r="S124" s="34">
        <f t="shared" si="8"/>
        <v>148.2401157</v>
      </c>
      <c r="T124" s="33">
        <v>65.94361</v>
      </c>
      <c r="U124" s="34">
        <f t="shared" si="9"/>
        <v>486.2524263</v>
      </c>
      <c r="V124" s="33">
        <v>74.50421</v>
      </c>
      <c r="W124" s="34">
        <f t="shared" si="10"/>
        <v>315.7428757</v>
      </c>
      <c r="X124" s="33">
        <v>66.27899</v>
      </c>
      <c r="Y124" s="34">
        <f t="shared" si="11"/>
        <v>304.5794299</v>
      </c>
      <c r="Z124" s="33">
        <v>64.71422</v>
      </c>
      <c r="AA124" s="34">
        <f t="shared" si="12"/>
        <v>484.7894793</v>
      </c>
      <c r="AB124" s="33">
        <v>75.91202</v>
      </c>
      <c r="AC124" s="34">
        <f t="shared" si="13"/>
        <v>287.4388746</v>
      </c>
      <c r="AD124" s="33">
        <v>60.11502</v>
      </c>
      <c r="AE124" s="34">
        <f t="shared" si="14"/>
        <v>607.961552</v>
      </c>
      <c r="AF124" s="33">
        <v>74.42709</v>
      </c>
      <c r="AG124" s="34">
        <f t="shared" si="15"/>
        <v>462.216828</v>
      </c>
      <c r="AH124" s="33">
        <v>71.81868</v>
      </c>
      <c r="AI124" s="34">
        <f t="shared" si="16"/>
        <v>168.7826677</v>
      </c>
      <c r="AJ124" s="33">
        <v>76.24696</v>
      </c>
      <c r="AK124" s="34">
        <f t="shared" si="17"/>
        <v>239.9396076</v>
      </c>
      <c r="AL124" s="33">
        <v>73.08186</v>
      </c>
      <c r="AM124" s="34">
        <f t="shared" si="18"/>
        <v>496.5494309</v>
      </c>
    </row>
    <row r="125">
      <c r="A125" s="32">
        <v>45953.0</v>
      </c>
      <c r="B125" s="33">
        <v>54.74937</v>
      </c>
      <c r="C125" s="34">
        <f t="shared" si="19"/>
        <v>288.5334583</v>
      </c>
      <c r="D125" s="33">
        <v>61.05767</v>
      </c>
      <c r="E125" s="34">
        <f t="shared" si="1"/>
        <v>211.5335279</v>
      </c>
      <c r="F125" s="33">
        <v>67.24244</v>
      </c>
      <c r="G125" s="34">
        <f t="shared" si="2"/>
        <v>486.5614486</v>
      </c>
      <c r="H125" s="33">
        <v>72.14868</v>
      </c>
      <c r="I125" s="34">
        <f t="shared" si="3"/>
        <v>652.8125813</v>
      </c>
      <c r="J125" s="33">
        <v>74.45536</v>
      </c>
      <c r="K125" s="34">
        <f t="shared" si="4"/>
        <v>403.4596376</v>
      </c>
      <c r="L125" s="33">
        <v>63.33672</v>
      </c>
      <c r="M125" s="34">
        <f t="shared" si="5"/>
        <v>427.535051</v>
      </c>
      <c r="N125" s="33">
        <v>76.64893</v>
      </c>
      <c r="O125" s="34">
        <f t="shared" si="6"/>
        <v>332.3947471</v>
      </c>
      <c r="P125" s="33">
        <v>70.63877</v>
      </c>
      <c r="Q125" s="34">
        <f t="shared" si="7"/>
        <v>412.0480114</v>
      </c>
      <c r="R125" s="33">
        <v>69.04091</v>
      </c>
      <c r="S125" s="34">
        <f t="shared" si="8"/>
        <v>163.9791406</v>
      </c>
      <c r="T125" s="33">
        <v>69.2619</v>
      </c>
      <c r="U125" s="34">
        <f t="shared" si="9"/>
        <v>504.4932953</v>
      </c>
      <c r="V125" s="33">
        <v>69.1827</v>
      </c>
      <c r="W125" s="34">
        <f t="shared" si="10"/>
        <v>334.191607</v>
      </c>
      <c r="X125" s="33">
        <v>66.7835</v>
      </c>
      <c r="Y125" s="34">
        <f t="shared" si="11"/>
        <v>323.2724591</v>
      </c>
      <c r="Z125" s="33">
        <v>68.84204</v>
      </c>
      <c r="AA125" s="34">
        <f t="shared" si="12"/>
        <v>500.8123182</v>
      </c>
      <c r="AB125" s="33">
        <v>73.98396</v>
      </c>
      <c r="AC125" s="34">
        <f t="shared" si="13"/>
        <v>302.4528487</v>
      </c>
      <c r="AD125" s="33">
        <v>62.0039</v>
      </c>
      <c r="AE125" s="34">
        <f t="shared" si="14"/>
        <v>636.8331133</v>
      </c>
      <c r="AF125" s="33">
        <v>74.15002</v>
      </c>
      <c r="AG125" s="34">
        <f t="shared" si="15"/>
        <v>476.183914</v>
      </c>
      <c r="AH125" s="33">
        <v>66.50222</v>
      </c>
      <c r="AI125" s="34">
        <f t="shared" si="16"/>
        <v>184.2114928</v>
      </c>
      <c r="AJ125" s="33">
        <v>68.51944</v>
      </c>
      <c r="AK125" s="34">
        <f t="shared" si="17"/>
        <v>256.8697162</v>
      </c>
      <c r="AL125" s="33">
        <v>75.45623</v>
      </c>
      <c r="AM125" s="34">
        <f t="shared" si="18"/>
        <v>508.2462023</v>
      </c>
    </row>
    <row r="126">
      <c r="A126" s="32">
        <v>45954.0</v>
      </c>
      <c r="B126" s="33">
        <v>64.28048</v>
      </c>
      <c r="C126" s="34">
        <f t="shared" si="19"/>
        <v>297.0476027</v>
      </c>
      <c r="D126" s="33">
        <v>64.18842</v>
      </c>
      <c r="E126" s="34">
        <f t="shared" si="1"/>
        <v>235.3037985</v>
      </c>
      <c r="F126" s="33">
        <v>63.56124</v>
      </c>
      <c r="G126" s="34">
        <f t="shared" si="2"/>
        <v>509.8597628</v>
      </c>
      <c r="H126" s="33">
        <v>78.32638</v>
      </c>
      <c r="I126" s="34">
        <f t="shared" si="3"/>
        <v>663.0463058</v>
      </c>
      <c r="J126" s="33">
        <v>81.76631</v>
      </c>
      <c r="K126" s="34">
        <f t="shared" si="4"/>
        <v>406.5923538</v>
      </c>
      <c r="L126" s="33">
        <v>61.48263</v>
      </c>
      <c r="M126" s="34">
        <f t="shared" si="5"/>
        <v>453.2028982</v>
      </c>
      <c r="N126" s="33">
        <v>80.8534</v>
      </c>
      <c r="O126" s="34">
        <f t="shared" si="6"/>
        <v>335.0524643</v>
      </c>
      <c r="P126" s="33">
        <v>71.57859</v>
      </c>
      <c r="Q126" s="34">
        <f t="shared" si="7"/>
        <v>424.8768411</v>
      </c>
      <c r="R126" s="33">
        <v>71.47331</v>
      </c>
      <c r="S126" s="34">
        <f t="shared" si="8"/>
        <v>177.2857654</v>
      </c>
      <c r="T126" s="33">
        <v>56.83025</v>
      </c>
      <c r="U126" s="34">
        <f t="shared" si="9"/>
        <v>535.1658143</v>
      </c>
      <c r="V126" s="33">
        <v>78.58111</v>
      </c>
      <c r="W126" s="34">
        <f t="shared" si="10"/>
        <v>343.2419283</v>
      </c>
      <c r="X126" s="33">
        <v>58.55848</v>
      </c>
      <c r="Y126" s="34">
        <f t="shared" si="11"/>
        <v>350.1905083</v>
      </c>
      <c r="Z126" s="33">
        <v>65.91447</v>
      </c>
      <c r="AA126" s="34">
        <f t="shared" si="12"/>
        <v>519.7627271</v>
      </c>
      <c r="AB126" s="33">
        <v>70.28617</v>
      </c>
      <c r="AC126" s="34">
        <f t="shared" si="13"/>
        <v>321.1646128</v>
      </c>
      <c r="AD126" s="33">
        <v>64.10124</v>
      </c>
      <c r="AE126" s="34">
        <f t="shared" si="14"/>
        <v>663.6073346</v>
      </c>
      <c r="AF126" s="33">
        <v>73.69767</v>
      </c>
      <c r="AG126" s="34">
        <f t="shared" si="15"/>
        <v>490.6033501</v>
      </c>
      <c r="AH126" s="33">
        <v>61.49718</v>
      </c>
      <c r="AI126" s="34">
        <f t="shared" si="16"/>
        <v>204.6453579</v>
      </c>
      <c r="AJ126" s="33">
        <v>69.82569</v>
      </c>
      <c r="AK126" s="34">
        <f t="shared" si="17"/>
        <v>272.4935748</v>
      </c>
      <c r="AL126" s="33">
        <v>78.2733</v>
      </c>
      <c r="AM126" s="34">
        <f t="shared" si="18"/>
        <v>517.1259036</v>
      </c>
    </row>
    <row r="127">
      <c r="A127" s="32">
        <v>45955.0</v>
      </c>
      <c r="B127" s="33">
        <v>62.84175</v>
      </c>
      <c r="C127" s="34">
        <f t="shared" si="19"/>
        <v>326.5499072</v>
      </c>
      <c r="D127" s="33">
        <v>72.47887</v>
      </c>
      <c r="E127" s="34">
        <f t="shared" si="1"/>
        <v>255.9433192</v>
      </c>
      <c r="F127" s="33">
        <v>62.55213</v>
      </c>
      <c r="G127" s="34">
        <f t="shared" si="2"/>
        <v>534.1671871</v>
      </c>
      <c r="H127" s="33">
        <v>79.40615</v>
      </c>
      <c r="I127" s="34">
        <f t="shared" si="3"/>
        <v>672.2002603</v>
      </c>
      <c r="J127" s="33">
        <v>83.62297</v>
      </c>
      <c r="K127" s="34">
        <f t="shared" si="4"/>
        <v>407.8684101</v>
      </c>
      <c r="L127" s="33">
        <v>67.81256</v>
      </c>
      <c r="M127" s="34">
        <f t="shared" si="5"/>
        <v>472.5408155</v>
      </c>
      <c r="N127" s="33">
        <v>74.6487</v>
      </c>
      <c r="O127" s="34">
        <f t="shared" si="6"/>
        <v>343.9148816</v>
      </c>
      <c r="P127" s="33">
        <v>72.81909</v>
      </c>
      <c r="Q127" s="34">
        <f t="shared" si="7"/>
        <v>436.4651709</v>
      </c>
      <c r="R127" s="33">
        <v>62.34151</v>
      </c>
      <c r="S127" s="34">
        <f t="shared" si="8"/>
        <v>199.7241903</v>
      </c>
      <c r="T127" s="33">
        <v>58.88872</v>
      </c>
      <c r="U127" s="34">
        <f t="shared" si="9"/>
        <v>563.7798632</v>
      </c>
      <c r="V127" s="33">
        <v>67.59641</v>
      </c>
      <c r="W127" s="34">
        <f t="shared" si="10"/>
        <v>363.2769495</v>
      </c>
      <c r="X127" s="33">
        <v>60.25445</v>
      </c>
      <c r="Y127" s="34">
        <f t="shared" si="11"/>
        <v>375.4125875</v>
      </c>
      <c r="Z127" s="33">
        <v>75.05747</v>
      </c>
      <c r="AA127" s="34">
        <f t="shared" si="12"/>
        <v>529.570136</v>
      </c>
      <c r="AB127" s="33">
        <v>81.68864</v>
      </c>
      <c r="AC127" s="34">
        <f t="shared" si="13"/>
        <v>328.4739069</v>
      </c>
      <c r="AD127" s="33">
        <v>70.83027</v>
      </c>
      <c r="AE127" s="34">
        <f t="shared" si="14"/>
        <v>683.6525259</v>
      </c>
      <c r="AF127" s="33">
        <v>77.25954</v>
      </c>
      <c r="AG127" s="34">
        <f t="shared" si="15"/>
        <v>501.4609161</v>
      </c>
      <c r="AH127" s="33">
        <v>63.98799</v>
      </c>
      <c r="AI127" s="34">
        <f t="shared" si="16"/>
        <v>222.588413</v>
      </c>
      <c r="AJ127" s="33">
        <v>69.45414</v>
      </c>
      <c r="AK127" s="34">
        <f t="shared" si="17"/>
        <v>288.4889834</v>
      </c>
      <c r="AL127" s="33">
        <v>74.35348</v>
      </c>
      <c r="AM127" s="34">
        <f t="shared" si="18"/>
        <v>529.925425</v>
      </c>
    </row>
    <row r="128">
      <c r="A128" s="32">
        <v>45956.0</v>
      </c>
      <c r="B128" s="33">
        <v>72.87474</v>
      </c>
      <c r="C128" s="34">
        <f t="shared" si="19"/>
        <v>346.5211016</v>
      </c>
      <c r="D128" s="33">
        <v>73.16935</v>
      </c>
      <c r="E128" s="34">
        <f t="shared" si="1"/>
        <v>268.2923898</v>
      </c>
      <c r="F128" s="33">
        <v>63.23398</v>
      </c>
      <c r="G128" s="34">
        <f t="shared" si="2"/>
        <v>557.7927614</v>
      </c>
      <c r="H128" s="33">
        <v>79.11577</v>
      </c>
      <c r="I128" s="34">
        <f t="shared" si="3"/>
        <v>681.6445947</v>
      </c>
      <c r="J128" s="33">
        <v>76.66589</v>
      </c>
      <c r="K128" s="34">
        <f t="shared" si="4"/>
        <v>416.1015463</v>
      </c>
      <c r="L128" s="33">
        <v>62.2807</v>
      </c>
      <c r="M128" s="34">
        <f t="shared" si="5"/>
        <v>497.4105928</v>
      </c>
      <c r="N128" s="33">
        <v>76.05719</v>
      </c>
      <c r="O128" s="34">
        <f t="shared" si="6"/>
        <v>351.3688088</v>
      </c>
      <c r="P128" s="33">
        <v>77.38524</v>
      </c>
      <c r="Q128" s="34">
        <f t="shared" si="7"/>
        <v>443.4873506</v>
      </c>
      <c r="R128" s="33">
        <v>57.2133</v>
      </c>
      <c r="S128" s="34">
        <f t="shared" si="8"/>
        <v>227.2908251</v>
      </c>
      <c r="T128" s="33">
        <v>59.27248</v>
      </c>
      <c r="U128" s="34">
        <f t="shared" si="9"/>
        <v>592.0101522</v>
      </c>
      <c r="V128" s="33">
        <v>67.59135</v>
      </c>
      <c r="W128" s="34">
        <f t="shared" si="10"/>
        <v>383.3170308</v>
      </c>
      <c r="X128" s="33">
        <v>70.55272</v>
      </c>
      <c r="Y128" s="34">
        <f t="shared" si="11"/>
        <v>390.3363967</v>
      </c>
      <c r="Z128" s="33">
        <v>72.70234</v>
      </c>
      <c r="AA128" s="34">
        <f t="shared" si="12"/>
        <v>541.7326749</v>
      </c>
      <c r="AB128" s="33">
        <v>82.72033</v>
      </c>
      <c r="AC128" s="34">
        <f t="shared" si="13"/>
        <v>334.751511</v>
      </c>
      <c r="AD128" s="33">
        <v>80.72747</v>
      </c>
      <c r="AE128" s="34">
        <f t="shared" si="14"/>
        <v>693.8005172</v>
      </c>
      <c r="AF128" s="33">
        <v>83.66667</v>
      </c>
      <c r="AG128" s="34">
        <f t="shared" si="15"/>
        <v>505.9113522</v>
      </c>
      <c r="AH128" s="33">
        <v>61.94611</v>
      </c>
      <c r="AI128" s="34">
        <f t="shared" si="16"/>
        <v>242.5733481</v>
      </c>
      <c r="AJ128" s="33">
        <v>79.17236</v>
      </c>
      <c r="AK128" s="34">
        <f t="shared" si="17"/>
        <v>294.7661721</v>
      </c>
      <c r="AL128" s="33">
        <v>76.29092</v>
      </c>
      <c r="AM128" s="34">
        <f t="shared" si="18"/>
        <v>540.7875063</v>
      </c>
    </row>
    <row r="129">
      <c r="A129" s="32">
        <v>45957.0</v>
      </c>
      <c r="B129" s="33">
        <v>71.63919</v>
      </c>
      <c r="C129" s="34">
        <f t="shared" si="19"/>
        <v>367.931026</v>
      </c>
      <c r="D129" s="33">
        <v>74.32439</v>
      </c>
      <c r="E129" s="34">
        <f t="shared" si="1"/>
        <v>279.9509805</v>
      </c>
      <c r="F129" s="33">
        <v>64.10169</v>
      </c>
      <c r="G129" s="34">
        <f t="shared" si="2"/>
        <v>580.5506257</v>
      </c>
      <c r="H129" s="33">
        <v>74.53788</v>
      </c>
      <c r="I129" s="34">
        <f t="shared" si="3"/>
        <v>695.6668192</v>
      </c>
      <c r="J129" s="33">
        <v>68.04062</v>
      </c>
      <c r="K129" s="34">
        <f t="shared" si="4"/>
        <v>432.9599526</v>
      </c>
      <c r="L129" s="33">
        <v>64.88274</v>
      </c>
      <c r="M129" s="34">
        <f t="shared" si="5"/>
        <v>519.67833</v>
      </c>
      <c r="N129" s="33">
        <v>69.21285</v>
      </c>
      <c r="O129" s="34">
        <f t="shared" si="6"/>
        <v>365.667076</v>
      </c>
      <c r="P129" s="33">
        <v>77.53701</v>
      </c>
      <c r="Q129" s="34">
        <f t="shared" si="7"/>
        <v>450.3577604</v>
      </c>
      <c r="R129" s="33">
        <v>59.19225</v>
      </c>
      <c r="S129" s="34">
        <f t="shared" si="8"/>
        <v>252.8785099</v>
      </c>
      <c r="T129" s="33">
        <v>60.55571</v>
      </c>
      <c r="U129" s="34">
        <f t="shared" si="9"/>
        <v>618.9572112</v>
      </c>
      <c r="V129" s="33">
        <v>67.917</v>
      </c>
      <c r="W129" s="34">
        <f t="shared" si="10"/>
        <v>403.0314621</v>
      </c>
      <c r="X129" s="33">
        <v>69.96211</v>
      </c>
      <c r="Y129" s="34">
        <f t="shared" si="11"/>
        <v>405.8508159</v>
      </c>
      <c r="Z129" s="33">
        <v>65.18098</v>
      </c>
      <c r="AA129" s="34">
        <f t="shared" si="12"/>
        <v>561.4165738</v>
      </c>
      <c r="AB129" s="33">
        <v>82.33165</v>
      </c>
      <c r="AC129" s="34">
        <f t="shared" si="13"/>
        <v>341.4177951</v>
      </c>
      <c r="AD129" s="33">
        <v>74.54407</v>
      </c>
      <c r="AE129" s="34">
        <f t="shared" si="14"/>
        <v>710.1319084</v>
      </c>
      <c r="AF129" s="33">
        <v>79.25647</v>
      </c>
      <c r="AG129" s="34">
        <f t="shared" si="15"/>
        <v>514.7719883</v>
      </c>
      <c r="AH129" s="33">
        <v>58.15061</v>
      </c>
      <c r="AI129" s="34">
        <f t="shared" si="16"/>
        <v>266.3537832</v>
      </c>
      <c r="AJ129" s="33">
        <v>81.69161</v>
      </c>
      <c r="AK129" s="34">
        <f t="shared" si="17"/>
        <v>298.5241107</v>
      </c>
      <c r="AL129" s="33">
        <v>68.94343</v>
      </c>
      <c r="AM129" s="34">
        <f t="shared" si="18"/>
        <v>558.9970777</v>
      </c>
    </row>
    <row r="130">
      <c r="A130" s="32">
        <v>45958.0</v>
      </c>
      <c r="B130" s="33">
        <v>67.90864</v>
      </c>
      <c r="C130" s="34">
        <f t="shared" si="19"/>
        <v>379.3079604</v>
      </c>
      <c r="D130" s="33">
        <v>83.7286</v>
      </c>
      <c r="E130" s="34">
        <f t="shared" si="1"/>
        <v>290.4545311</v>
      </c>
      <c r="F130" s="33">
        <v>75.62795</v>
      </c>
      <c r="G130" s="34">
        <f t="shared" si="2"/>
        <v>591.78223</v>
      </c>
      <c r="H130" s="33">
        <v>78.28388</v>
      </c>
      <c r="I130" s="34">
        <f t="shared" si="3"/>
        <v>705.9430437</v>
      </c>
      <c r="J130" s="33">
        <v>57.86329</v>
      </c>
      <c r="K130" s="34">
        <f t="shared" si="4"/>
        <v>459.9956888</v>
      </c>
      <c r="L130" s="33">
        <v>71.69443</v>
      </c>
      <c r="M130" s="34">
        <f t="shared" si="5"/>
        <v>535.1343773</v>
      </c>
      <c r="N130" s="33">
        <v>69.68487</v>
      </c>
      <c r="O130" s="34">
        <f t="shared" si="6"/>
        <v>379.4933233</v>
      </c>
      <c r="P130" s="33">
        <v>82.16193</v>
      </c>
      <c r="Q130" s="34">
        <f t="shared" si="7"/>
        <v>452.6032502</v>
      </c>
      <c r="R130" s="33">
        <v>62.43034</v>
      </c>
      <c r="S130" s="34">
        <f t="shared" si="8"/>
        <v>275.2281048</v>
      </c>
      <c r="T130" s="33">
        <v>63.97815</v>
      </c>
      <c r="U130" s="34">
        <f t="shared" si="9"/>
        <v>642.4818302</v>
      </c>
      <c r="V130" s="33">
        <v>65.77415</v>
      </c>
      <c r="W130" s="34">
        <f t="shared" si="10"/>
        <v>424.8887433</v>
      </c>
      <c r="X130" s="33">
        <v>62.26793</v>
      </c>
      <c r="Y130" s="34">
        <f t="shared" si="11"/>
        <v>429.0594151</v>
      </c>
      <c r="Z130" s="33">
        <v>61.03195</v>
      </c>
      <c r="AA130" s="34">
        <f t="shared" si="12"/>
        <v>585.2495027</v>
      </c>
      <c r="AB130" s="33">
        <v>80.63008</v>
      </c>
      <c r="AC130" s="34">
        <f t="shared" si="13"/>
        <v>349.7856491</v>
      </c>
      <c r="AD130" s="33">
        <v>79.91056</v>
      </c>
      <c r="AE130" s="34">
        <f t="shared" si="14"/>
        <v>721.0968097</v>
      </c>
      <c r="AF130" s="33">
        <v>73.36289</v>
      </c>
      <c r="AG130" s="34">
        <f t="shared" si="15"/>
        <v>529.5262043</v>
      </c>
      <c r="AH130" s="33">
        <v>63.83154</v>
      </c>
      <c r="AI130" s="34">
        <f t="shared" si="16"/>
        <v>284.4532883</v>
      </c>
      <c r="AJ130" s="33">
        <v>79.4645</v>
      </c>
      <c r="AK130" s="34">
        <f t="shared" si="17"/>
        <v>304.5091593</v>
      </c>
      <c r="AL130" s="33">
        <v>55.62316</v>
      </c>
      <c r="AM130" s="34">
        <f t="shared" si="18"/>
        <v>590.526919</v>
      </c>
    </row>
    <row r="131">
      <c r="A131" s="32">
        <v>45959.0</v>
      </c>
      <c r="B131" s="33">
        <v>60.33835</v>
      </c>
      <c r="C131" s="34">
        <f t="shared" si="19"/>
        <v>391.9204449</v>
      </c>
      <c r="D131" s="33">
        <v>85.07493</v>
      </c>
      <c r="E131" s="34">
        <f t="shared" si="1"/>
        <v>291.5538718</v>
      </c>
      <c r="F131" s="33">
        <v>77.86605</v>
      </c>
      <c r="G131" s="34">
        <f t="shared" si="2"/>
        <v>600.7757343</v>
      </c>
      <c r="H131" s="33">
        <v>82.70795</v>
      </c>
      <c r="I131" s="34">
        <f t="shared" si="3"/>
        <v>711.7951981</v>
      </c>
      <c r="J131" s="33">
        <v>57.26434</v>
      </c>
      <c r="K131" s="34">
        <f t="shared" si="4"/>
        <v>487.6303751</v>
      </c>
      <c r="L131" s="33">
        <v>76.99448</v>
      </c>
      <c r="M131" s="34">
        <f t="shared" si="5"/>
        <v>545.2903746</v>
      </c>
      <c r="N131" s="33">
        <v>63.29186</v>
      </c>
      <c r="O131" s="34">
        <f t="shared" si="6"/>
        <v>399.7125805</v>
      </c>
      <c r="P131" s="33">
        <v>85.50999</v>
      </c>
      <c r="Q131" s="34">
        <f t="shared" si="7"/>
        <v>451.5006799</v>
      </c>
      <c r="R131" s="33">
        <v>66.90088</v>
      </c>
      <c r="S131" s="34">
        <f t="shared" si="8"/>
        <v>293.1071596</v>
      </c>
      <c r="T131" s="33">
        <v>67.56336</v>
      </c>
      <c r="U131" s="34">
        <f t="shared" si="9"/>
        <v>662.4212391</v>
      </c>
      <c r="V131" s="33">
        <v>73.94622</v>
      </c>
      <c r="W131" s="34">
        <f t="shared" si="10"/>
        <v>438.5739546</v>
      </c>
      <c r="X131" s="33">
        <v>56.11181</v>
      </c>
      <c r="Y131" s="34">
        <f t="shared" si="11"/>
        <v>458.4241342</v>
      </c>
      <c r="Z131" s="33">
        <v>72.78482</v>
      </c>
      <c r="AA131" s="34">
        <f t="shared" si="12"/>
        <v>597.3295616</v>
      </c>
      <c r="AB131" s="33">
        <v>79.76873</v>
      </c>
      <c r="AC131" s="34">
        <f t="shared" si="13"/>
        <v>359.0148532</v>
      </c>
      <c r="AD131" s="33">
        <v>78.43663</v>
      </c>
      <c r="AE131" s="34">
        <f t="shared" si="14"/>
        <v>733.535641</v>
      </c>
      <c r="AF131" s="33">
        <v>61.45383</v>
      </c>
      <c r="AG131" s="34">
        <f t="shared" si="15"/>
        <v>556.1894804</v>
      </c>
      <c r="AH131" s="33">
        <v>66.03378</v>
      </c>
      <c r="AI131" s="34">
        <f t="shared" si="16"/>
        <v>300.3505534</v>
      </c>
      <c r="AJ131" s="33">
        <v>81.78931</v>
      </c>
      <c r="AK131" s="34">
        <f t="shared" si="17"/>
        <v>308.1693979</v>
      </c>
      <c r="AL131" s="33">
        <v>73.03021</v>
      </c>
      <c r="AM131" s="34">
        <f t="shared" si="18"/>
        <v>604.6497104</v>
      </c>
    </row>
    <row r="132">
      <c r="A132" s="32">
        <v>45960.0</v>
      </c>
      <c r="B132" s="33">
        <v>62.73017</v>
      </c>
      <c r="C132" s="34">
        <f t="shared" si="19"/>
        <v>408.2634793</v>
      </c>
      <c r="D132" s="33">
        <v>80.28623</v>
      </c>
      <c r="E132" s="34">
        <f t="shared" si="1"/>
        <v>291.3068824</v>
      </c>
      <c r="F132" s="33">
        <v>75.73769</v>
      </c>
      <c r="G132" s="34">
        <f t="shared" si="2"/>
        <v>611.8975986</v>
      </c>
      <c r="H132" s="33">
        <v>80.44802</v>
      </c>
      <c r="I132" s="34">
        <f t="shared" si="3"/>
        <v>719.9072826</v>
      </c>
      <c r="J132" s="33">
        <v>64.7936</v>
      </c>
      <c r="K132" s="34">
        <f t="shared" si="4"/>
        <v>507.7358014</v>
      </c>
      <c r="L132" s="33">
        <v>79.7251</v>
      </c>
      <c r="M132" s="34">
        <f t="shared" si="5"/>
        <v>552.7157519</v>
      </c>
      <c r="N132" s="33">
        <v>69.71478</v>
      </c>
      <c r="O132" s="34">
        <f t="shared" si="6"/>
        <v>413.5089177</v>
      </c>
      <c r="P132" s="33">
        <v>80.67287</v>
      </c>
      <c r="Q132" s="34">
        <f t="shared" si="7"/>
        <v>455.2352297</v>
      </c>
      <c r="R132" s="33">
        <v>68.75353</v>
      </c>
      <c r="S132" s="34">
        <f t="shared" si="8"/>
        <v>309.1335644</v>
      </c>
      <c r="T132" s="33">
        <v>74.93308</v>
      </c>
      <c r="U132" s="34">
        <f t="shared" si="9"/>
        <v>674.9909281</v>
      </c>
      <c r="V132" s="33">
        <v>69.13694</v>
      </c>
      <c r="W132" s="34">
        <f t="shared" si="10"/>
        <v>457.0684458</v>
      </c>
      <c r="X132" s="33">
        <v>63.18631</v>
      </c>
      <c r="Y132" s="34">
        <f t="shared" si="11"/>
        <v>480.7143534</v>
      </c>
      <c r="Z132" s="33">
        <v>79.18687</v>
      </c>
      <c r="AA132" s="34">
        <f t="shared" si="12"/>
        <v>603.0075705</v>
      </c>
      <c r="AB132" s="33">
        <v>73.66484</v>
      </c>
      <c r="AC132" s="34">
        <f t="shared" si="13"/>
        <v>374.3479473</v>
      </c>
      <c r="AD132" s="33">
        <v>69.19173</v>
      </c>
      <c r="AE132" s="34">
        <f t="shared" si="14"/>
        <v>755.2193723</v>
      </c>
      <c r="AF132" s="33">
        <v>63.83377</v>
      </c>
      <c r="AG132" s="34">
        <f t="shared" si="15"/>
        <v>580.4728164</v>
      </c>
      <c r="AH132" s="33">
        <v>77.44226</v>
      </c>
      <c r="AI132" s="34">
        <f t="shared" si="16"/>
        <v>304.8393385</v>
      </c>
      <c r="AJ132" s="33">
        <v>79.67961</v>
      </c>
      <c r="AK132" s="34">
        <f t="shared" si="17"/>
        <v>313.9393365</v>
      </c>
      <c r="AL132" s="33">
        <v>74.11555</v>
      </c>
      <c r="AM132" s="34">
        <f t="shared" si="18"/>
        <v>617.6871617</v>
      </c>
    </row>
    <row r="133">
      <c r="A133" s="32">
        <v>45961.0</v>
      </c>
      <c r="B133" s="33">
        <v>63.83046</v>
      </c>
      <c r="C133" s="34">
        <f t="shared" si="19"/>
        <v>432.1768037</v>
      </c>
      <c r="D133" s="33">
        <v>78.85423</v>
      </c>
      <c r="E133" s="34">
        <f t="shared" si="1"/>
        <v>295.8485931</v>
      </c>
      <c r="F133" s="33">
        <v>72.35307</v>
      </c>
      <c r="G133" s="34">
        <f t="shared" si="2"/>
        <v>626.4040828</v>
      </c>
      <c r="H133" s="33">
        <v>75.98847</v>
      </c>
      <c r="I133" s="34">
        <f t="shared" si="3"/>
        <v>732.4789171</v>
      </c>
      <c r="J133" s="33">
        <v>68.53345</v>
      </c>
      <c r="K133" s="34">
        <f t="shared" si="4"/>
        <v>524.1013776</v>
      </c>
      <c r="L133" s="33">
        <v>69.9463</v>
      </c>
      <c r="M133" s="34">
        <f t="shared" si="5"/>
        <v>569.9199291</v>
      </c>
      <c r="N133" s="33">
        <v>72.87967</v>
      </c>
      <c r="O133" s="34">
        <f t="shared" si="6"/>
        <v>424.140365</v>
      </c>
      <c r="P133" s="35">
        <v>76.16107</v>
      </c>
      <c r="Q133" s="34">
        <f t="shared" si="7"/>
        <v>463.4815794</v>
      </c>
      <c r="R133" s="33">
        <v>67.97415</v>
      </c>
      <c r="S133" s="34">
        <f t="shared" si="8"/>
        <v>325.9393493</v>
      </c>
      <c r="T133" s="33">
        <v>73.08971</v>
      </c>
      <c r="U133" s="34">
        <f t="shared" si="9"/>
        <v>689.4039871</v>
      </c>
      <c r="V133" s="33">
        <v>66.49032</v>
      </c>
      <c r="W133" s="34">
        <f t="shared" si="10"/>
        <v>478.2095571</v>
      </c>
      <c r="X133" s="33">
        <v>64.55886</v>
      </c>
      <c r="Y133" s="34">
        <f t="shared" si="11"/>
        <v>501.6320226</v>
      </c>
      <c r="Z133" s="33">
        <v>70.776</v>
      </c>
      <c r="AA133" s="34">
        <f t="shared" si="12"/>
        <v>617.0964494</v>
      </c>
      <c r="AB133" s="33">
        <v>74.62618</v>
      </c>
      <c r="AC133" s="34">
        <f t="shared" si="13"/>
        <v>388.7197014</v>
      </c>
      <c r="AD133" s="33">
        <v>67.14295</v>
      </c>
      <c r="AE133" s="34">
        <f t="shared" si="14"/>
        <v>778.9518836</v>
      </c>
      <c r="AF133" s="33">
        <v>63.30258</v>
      </c>
      <c r="AG133" s="34">
        <f t="shared" si="15"/>
        <v>605.2873425</v>
      </c>
      <c r="AH133" s="33">
        <v>84.47681</v>
      </c>
      <c r="AI133" s="34">
        <f t="shared" si="16"/>
        <v>302.2935735</v>
      </c>
      <c r="AJ133" s="33">
        <v>76.28772</v>
      </c>
      <c r="AK133" s="34">
        <f t="shared" si="17"/>
        <v>323.1011652</v>
      </c>
      <c r="AL133" s="33">
        <v>75.38342</v>
      </c>
      <c r="AM133" s="34">
        <f t="shared" si="18"/>
        <v>629.456743</v>
      </c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  <row r="1000">
      <c r="A1000" s="3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3.63"/>
    <col customWidth="1" min="4" max="4" width="3.13"/>
    <col customWidth="1" min="6" max="6" width="12.5"/>
    <col customWidth="1" min="7" max="7" width="17.5"/>
  </cols>
  <sheetData>
    <row r="1">
      <c r="A1" s="38" t="s">
        <v>31</v>
      </c>
      <c r="B1" s="39"/>
      <c r="C1" s="40"/>
      <c r="E1" s="41" t="s">
        <v>32</v>
      </c>
      <c r="F1" s="39"/>
      <c r="G1" s="40"/>
      <c r="H1" s="42"/>
    </row>
    <row r="2">
      <c r="A2" s="43" t="s">
        <v>33</v>
      </c>
      <c r="B2" s="43" t="s">
        <v>34</v>
      </c>
      <c r="C2" s="43" t="s">
        <v>35</v>
      </c>
      <c r="D2" s="44"/>
      <c r="E2" s="45" t="s">
        <v>33</v>
      </c>
      <c r="F2" s="45" t="s">
        <v>34</v>
      </c>
      <c r="G2" s="45" t="s">
        <v>35</v>
      </c>
      <c r="H2" s="42"/>
    </row>
    <row r="3">
      <c r="A3" s="46">
        <v>1996.0</v>
      </c>
      <c r="B3" s="32"/>
      <c r="C3" s="47"/>
      <c r="E3" s="48">
        <v>1996.0</v>
      </c>
      <c r="F3" s="49">
        <v>45914.0</v>
      </c>
      <c r="G3" s="50">
        <v>79.0</v>
      </c>
      <c r="H3" s="42"/>
    </row>
    <row r="4">
      <c r="A4" s="46">
        <v>1997.0</v>
      </c>
      <c r="B4" s="51">
        <v>45930.0</v>
      </c>
      <c r="C4" s="52">
        <v>64.04852</v>
      </c>
      <c r="E4" s="48">
        <v>1997.0</v>
      </c>
      <c r="F4" s="49">
        <v>45928.0</v>
      </c>
      <c r="G4" s="50">
        <v>68.0</v>
      </c>
      <c r="H4" s="42"/>
    </row>
    <row r="5">
      <c r="A5" s="46">
        <v>1998.0</v>
      </c>
      <c r="B5" s="51">
        <v>45931.0</v>
      </c>
      <c r="C5" s="52">
        <v>69.54799</v>
      </c>
      <c r="E5" s="48">
        <v>1998.0</v>
      </c>
      <c r="F5" s="49">
        <v>45927.0</v>
      </c>
      <c r="G5" s="50">
        <v>87.0</v>
      </c>
      <c r="H5" s="42"/>
    </row>
    <row r="6">
      <c r="A6" s="46">
        <v>1999.0</v>
      </c>
      <c r="B6" s="51">
        <v>45921.0</v>
      </c>
      <c r="C6" s="52">
        <v>70.20221</v>
      </c>
      <c r="E6" s="48">
        <v>1999.0</v>
      </c>
      <c r="F6" s="49">
        <v>45920.0</v>
      </c>
      <c r="G6" s="50">
        <v>68.0</v>
      </c>
      <c r="H6" s="42"/>
    </row>
    <row r="7">
      <c r="A7" s="46">
        <v>2000.0</v>
      </c>
      <c r="B7" s="53">
        <v>45907.0</v>
      </c>
      <c r="C7" s="52">
        <v>72.8362</v>
      </c>
      <c r="E7" s="48">
        <v>2000.0</v>
      </c>
      <c r="F7" s="49">
        <v>45906.0</v>
      </c>
      <c r="G7" s="50">
        <v>66.0</v>
      </c>
      <c r="H7" s="42"/>
    </row>
    <row r="8">
      <c r="A8" s="46">
        <v>2001.0</v>
      </c>
      <c r="B8" s="51">
        <v>45918.0</v>
      </c>
      <c r="C8" s="52">
        <v>78.3928</v>
      </c>
      <c r="E8" s="48">
        <v>2001.0</v>
      </c>
      <c r="F8" s="49">
        <v>45918.0</v>
      </c>
      <c r="G8" s="50">
        <v>81.0</v>
      </c>
      <c r="H8" s="42"/>
    </row>
    <row r="9">
      <c r="A9" s="46">
        <v>2002.0</v>
      </c>
      <c r="B9" s="51">
        <v>45924.0</v>
      </c>
      <c r="C9" s="52">
        <v>80.16571</v>
      </c>
      <c r="E9" s="48">
        <v>2002.0</v>
      </c>
      <c r="F9" s="49">
        <v>45923.0</v>
      </c>
      <c r="G9" s="50">
        <v>82.0</v>
      </c>
      <c r="H9" s="42"/>
    </row>
    <row r="10">
      <c r="A10" s="46">
        <v>2003.0</v>
      </c>
      <c r="B10" s="54">
        <v>45922.0</v>
      </c>
      <c r="C10" s="52">
        <v>79.5776</v>
      </c>
      <c r="E10" s="48">
        <v>2003.0</v>
      </c>
      <c r="F10" s="49">
        <v>45916.0</v>
      </c>
      <c r="G10" s="50">
        <v>81.0</v>
      </c>
      <c r="H10" s="42"/>
    </row>
    <row r="11">
      <c r="A11" s="46">
        <v>2004.0</v>
      </c>
      <c r="B11" s="51">
        <v>45916.0</v>
      </c>
      <c r="C11" s="52">
        <v>72.47895</v>
      </c>
      <c r="E11" s="48">
        <v>2004.0</v>
      </c>
      <c r="F11" s="49">
        <v>45913.0</v>
      </c>
      <c r="G11" s="50">
        <v>79.0</v>
      </c>
      <c r="H11" s="42"/>
    </row>
    <row r="12">
      <c r="A12" s="46">
        <v>2005.0</v>
      </c>
      <c r="B12" s="53">
        <v>45938.0</v>
      </c>
      <c r="C12" s="52">
        <v>70.7583</v>
      </c>
      <c r="E12" s="48">
        <v>2005.0</v>
      </c>
      <c r="F12" s="49">
        <v>45938.0</v>
      </c>
      <c r="G12" s="50">
        <v>73.0</v>
      </c>
      <c r="H12" s="42"/>
    </row>
    <row r="13">
      <c r="A13" s="46">
        <v>2006.0</v>
      </c>
      <c r="B13" s="51">
        <v>45914.0</v>
      </c>
      <c r="C13" s="52">
        <v>72.34785</v>
      </c>
      <c r="E13" s="48">
        <v>2006.0</v>
      </c>
      <c r="F13" s="49">
        <v>45911.0</v>
      </c>
      <c r="G13" s="50">
        <v>84.0</v>
      </c>
      <c r="H13" s="42"/>
    </row>
    <row r="14">
      <c r="A14" s="46">
        <v>2007.0</v>
      </c>
      <c r="B14" s="51">
        <v>45919.0</v>
      </c>
      <c r="C14" s="52">
        <v>76.82767</v>
      </c>
      <c r="E14" s="48">
        <v>2007.0</v>
      </c>
      <c r="F14" s="49">
        <v>45918.0</v>
      </c>
      <c r="G14" s="50">
        <v>79.0</v>
      </c>
      <c r="H14" s="42"/>
    </row>
    <row r="15">
      <c r="A15" s="46">
        <v>2008.0</v>
      </c>
      <c r="B15" s="51">
        <v>45919.0</v>
      </c>
      <c r="C15" s="52">
        <v>78.34013</v>
      </c>
      <c r="E15" s="48">
        <v>2008.0</v>
      </c>
      <c r="F15" s="49">
        <v>45918.0</v>
      </c>
      <c r="G15" s="50">
        <v>82.0</v>
      </c>
      <c r="H15" s="42"/>
    </row>
    <row r="16">
      <c r="A16" s="46">
        <v>2009.0</v>
      </c>
      <c r="B16" s="51">
        <v>45911.0</v>
      </c>
      <c r="C16" s="52">
        <v>81.57026</v>
      </c>
      <c r="E16" s="48">
        <v>2009.0</v>
      </c>
      <c r="F16" s="49">
        <v>45903.0</v>
      </c>
      <c r="G16" s="50">
        <v>79.0</v>
      </c>
      <c r="H16" s="42"/>
    </row>
    <row r="17">
      <c r="A17" s="46">
        <v>2010.0</v>
      </c>
      <c r="B17" s="51">
        <v>45931.0</v>
      </c>
      <c r="C17" s="52">
        <v>75.22927</v>
      </c>
      <c r="E17" s="48">
        <v>2010.0</v>
      </c>
      <c r="F17" s="49">
        <v>45930.0</v>
      </c>
      <c r="G17" s="50">
        <v>76.0</v>
      </c>
      <c r="H17" s="42"/>
    </row>
    <row r="18">
      <c r="A18" s="46">
        <v>2011.0</v>
      </c>
      <c r="B18" s="54" t="s">
        <v>36</v>
      </c>
      <c r="C18" s="52">
        <v>72.91695</v>
      </c>
      <c r="E18" s="48">
        <v>2011.0</v>
      </c>
      <c r="F18" s="49">
        <v>45907.0</v>
      </c>
      <c r="G18" s="50">
        <v>69.0</v>
      </c>
      <c r="H18" s="42"/>
    </row>
    <row r="19">
      <c r="A19" s="46">
        <v>2012.0</v>
      </c>
      <c r="B19" s="53">
        <v>45906.0</v>
      </c>
      <c r="C19" s="52">
        <v>83.76998</v>
      </c>
      <c r="E19" s="48">
        <v>2012.0</v>
      </c>
      <c r="F19" s="49">
        <v>45904.0</v>
      </c>
      <c r="G19" s="50">
        <v>77.0</v>
      </c>
      <c r="H19" s="42"/>
    </row>
    <row r="20">
      <c r="A20" s="46">
        <v>2013.0</v>
      </c>
      <c r="B20" s="51">
        <v>45930.0</v>
      </c>
      <c r="C20" s="52">
        <v>71.9801</v>
      </c>
      <c r="E20" s="48">
        <v>2013.0</v>
      </c>
      <c r="F20" s="49">
        <v>45928.0</v>
      </c>
      <c r="G20" s="50">
        <v>77.0</v>
      </c>
      <c r="H20" s="42"/>
    </row>
    <row r="21">
      <c r="A21" s="46">
        <v>2014.0</v>
      </c>
      <c r="B21" s="54">
        <v>45927.0</v>
      </c>
      <c r="C21" s="52">
        <v>74.23674</v>
      </c>
      <c r="E21" s="48">
        <v>2014.0</v>
      </c>
      <c r="F21" s="49">
        <v>45926.0</v>
      </c>
      <c r="G21" s="50">
        <v>74.0</v>
      </c>
      <c r="H21" s="42"/>
    </row>
    <row r="22">
      <c r="A22" s="46">
        <v>2015.0</v>
      </c>
      <c r="B22" s="51">
        <v>45914.0</v>
      </c>
      <c r="C22" s="55">
        <v>75.10617</v>
      </c>
      <c r="E22" s="48">
        <v>2015.0</v>
      </c>
      <c r="F22" s="49">
        <v>45913.0</v>
      </c>
      <c r="G22" s="50">
        <v>75.0</v>
      </c>
      <c r="H22" s="42"/>
    </row>
    <row r="36">
      <c r="I36" s="56"/>
    </row>
  </sheetData>
  <mergeCells count="2">
    <mergeCell ref="A1:C1"/>
    <mergeCell ref="E1:G1"/>
  </mergeCells>
  <drawing r:id="rId1"/>
  <tableParts count="2">
    <tablePart r:id="rId4"/>
    <tablePart r:id="rId5"/>
  </tableParts>
</worksheet>
</file>